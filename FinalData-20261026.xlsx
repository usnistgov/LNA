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nb11\Desktop\Work\LNA\"/>
    </mc:Choice>
  </mc:AlternateContent>
  <xr:revisionPtr revIDLastSave="0" documentId="13_ncr:1_{F713B221-46D0-43D7-BBBE-7CE9E5C335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1-OL21" sheetId="1" r:id="rId1"/>
    <sheet name="SET2-BSC1" sheetId="2" r:id="rId2"/>
    <sheet name="SET3-OL21LJBB" sheetId="3" r:id="rId3"/>
    <sheet name="SET4-OL21CUFix" sheetId="4" r:id="rId4"/>
    <sheet name="SET6-OL24" sheetId="11" r:id="rId5"/>
    <sheet name="Final-Results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1" l="1"/>
  <c r="O3" i="11"/>
  <c r="B55" i="11"/>
  <c r="B3" i="11"/>
  <c r="B54" i="3"/>
  <c r="B3" i="3"/>
  <c r="B55" i="2"/>
  <c r="B3" i="2"/>
  <c r="B55" i="1"/>
  <c r="B3" i="1"/>
  <c r="AZ24" i="13"/>
  <c r="AZ23" i="13"/>
  <c r="AZ22" i="13"/>
  <c r="AZ21" i="13"/>
  <c r="AZ20" i="13"/>
  <c r="AZ19" i="13"/>
  <c r="AZ18" i="13"/>
  <c r="AZ17" i="13"/>
  <c r="AZ26" i="13"/>
  <c r="AZ25" i="13"/>
  <c r="AY26" i="13"/>
  <c r="AX26" i="13"/>
  <c r="AW26" i="13"/>
  <c r="AV26" i="13"/>
  <c r="AU26" i="13"/>
  <c r="AY25" i="13"/>
  <c r="AX25" i="13"/>
  <c r="AW25" i="13"/>
  <c r="AV25" i="13"/>
  <c r="AU25" i="13"/>
  <c r="AH27" i="13"/>
  <c r="AH25" i="13"/>
  <c r="AH24" i="13"/>
  <c r="AH23" i="13"/>
  <c r="AH22" i="13"/>
  <c r="AH21" i="13"/>
  <c r="AH20" i="13"/>
  <c r="AH19" i="13"/>
  <c r="AH18" i="13"/>
  <c r="AH17" i="13"/>
  <c r="AG25" i="13"/>
  <c r="AF25" i="13"/>
  <c r="AE25" i="13"/>
  <c r="AD25" i="13"/>
  <c r="AC25" i="13"/>
  <c r="P27" i="13"/>
  <c r="P25" i="13"/>
  <c r="P24" i="13"/>
  <c r="P23" i="13"/>
  <c r="P22" i="13"/>
  <c r="P21" i="13"/>
  <c r="P20" i="13"/>
  <c r="P19" i="13"/>
  <c r="P18" i="13"/>
  <c r="P17" i="13"/>
  <c r="O25" i="13"/>
  <c r="N25" i="13"/>
  <c r="M25" i="13"/>
  <c r="L25" i="13"/>
  <c r="K25" i="13"/>
  <c r="AZ14" i="13"/>
  <c r="AZ12" i="13"/>
  <c r="AZ5" i="13"/>
  <c r="AZ6" i="13"/>
  <c r="AZ7" i="13"/>
  <c r="AZ8" i="13"/>
  <c r="AZ9" i="13"/>
  <c r="AZ10" i="13"/>
  <c r="AZ11" i="13"/>
  <c r="AZ4" i="13"/>
  <c r="AV12" i="13"/>
  <c r="AW12" i="13"/>
  <c r="AX12" i="13"/>
  <c r="AY12" i="13"/>
  <c r="AU12" i="13"/>
  <c r="AY18" i="13"/>
  <c r="AY19" i="13"/>
  <c r="AY20" i="13"/>
  <c r="AY21" i="13"/>
  <c r="AY22" i="13"/>
  <c r="AY23" i="13"/>
  <c r="AY24" i="13"/>
  <c r="AX18" i="13"/>
  <c r="AX19" i="13"/>
  <c r="AX20" i="13"/>
  <c r="AX21" i="13"/>
  <c r="AX22" i="13"/>
  <c r="AX23" i="13"/>
  <c r="AX24" i="13"/>
  <c r="AW18" i="13"/>
  <c r="AW19" i="13"/>
  <c r="AW20" i="13"/>
  <c r="AW21" i="13"/>
  <c r="AW22" i="13"/>
  <c r="AW23" i="13"/>
  <c r="AW24" i="13"/>
  <c r="AV18" i="13"/>
  <c r="AV19" i="13"/>
  <c r="AV20" i="13"/>
  <c r="AV21" i="13"/>
  <c r="AV22" i="13"/>
  <c r="AV23" i="13"/>
  <c r="AV24" i="13"/>
  <c r="AY17" i="13"/>
  <c r="AX17" i="13"/>
  <c r="AW17" i="13"/>
  <c r="AV17" i="13"/>
  <c r="BA17" i="13" s="1"/>
  <c r="AU18" i="13"/>
  <c r="AU19" i="13"/>
  <c r="AU20" i="13"/>
  <c r="AU21" i="13"/>
  <c r="AU22" i="13"/>
  <c r="AU23" i="13"/>
  <c r="AU24" i="13"/>
  <c r="AU17" i="13"/>
  <c r="AY5" i="13"/>
  <c r="AY6" i="13"/>
  <c r="AY13" i="13" s="1"/>
  <c r="AY7" i="13"/>
  <c r="AY8" i="13"/>
  <c r="AY9" i="13"/>
  <c r="AY10" i="13"/>
  <c r="AY11" i="13"/>
  <c r="AX5" i="13"/>
  <c r="BA5" i="13" s="1"/>
  <c r="AX6" i="13"/>
  <c r="AX7" i="13"/>
  <c r="AX8" i="13"/>
  <c r="AX9" i="13"/>
  <c r="AX10" i="13"/>
  <c r="BA10" i="13" s="1"/>
  <c r="AX11" i="13"/>
  <c r="AW5" i="13"/>
  <c r="AW6" i="13"/>
  <c r="AW7" i="13"/>
  <c r="AW8" i="13"/>
  <c r="AW9" i="13"/>
  <c r="AW10" i="13"/>
  <c r="AW14" i="13" s="1"/>
  <c r="AW11" i="13"/>
  <c r="AY4" i="13"/>
  <c r="AX4" i="13"/>
  <c r="AW4" i="13"/>
  <c r="AV5" i="13"/>
  <c r="AV6" i="13"/>
  <c r="AV7" i="13"/>
  <c r="AV8" i="13"/>
  <c r="AV9" i="13"/>
  <c r="AV10" i="13"/>
  <c r="AV11" i="13"/>
  <c r="AV4" i="13"/>
  <c r="AU5" i="13"/>
  <c r="AU6" i="13"/>
  <c r="AU7" i="13"/>
  <c r="AU8" i="13"/>
  <c r="AU9" i="13"/>
  <c r="AU10" i="13"/>
  <c r="AU11" i="13"/>
  <c r="AU4" i="13"/>
  <c r="BA23" i="13"/>
  <c r="BA18" i="13"/>
  <c r="AV14" i="13"/>
  <c r="AW13" i="13"/>
  <c r="AG18" i="13"/>
  <c r="AG19" i="13"/>
  <c r="AG26" i="13" s="1"/>
  <c r="AG20" i="13"/>
  <c r="AG21" i="13"/>
  <c r="AG22" i="13"/>
  <c r="AG23" i="13"/>
  <c r="AG24" i="13"/>
  <c r="AF18" i="13"/>
  <c r="AF19" i="13"/>
  <c r="AF27" i="13" s="1"/>
  <c r="AF20" i="13"/>
  <c r="AF21" i="13"/>
  <c r="AF22" i="13"/>
  <c r="AF23" i="13"/>
  <c r="AF24" i="13"/>
  <c r="AE18" i="13"/>
  <c r="AE19" i="13"/>
  <c r="AE20" i="13"/>
  <c r="AE21" i="13"/>
  <c r="AE22" i="13"/>
  <c r="AE23" i="13"/>
  <c r="AE24" i="13"/>
  <c r="AD18" i="13"/>
  <c r="AD19" i="13"/>
  <c r="AD20" i="13"/>
  <c r="AD21" i="13"/>
  <c r="AD22" i="13"/>
  <c r="AD23" i="13"/>
  <c r="AD24" i="13"/>
  <c r="AI24" i="13" s="1"/>
  <c r="AD26" i="13"/>
  <c r="AG17" i="13"/>
  <c r="AF17" i="13"/>
  <c r="AE17" i="13"/>
  <c r="AD17" i="13"/>
  <c r="AC18" i="13"/>
  <c r="AC19" i="13"/>
  <c r="AC26" i="13" s="1"/>
  <c r="AC20" i="13"/>
  <c r="AC27" i="13" s="1"/>
  <c r="AC21" i="13"/>
  <c r="AC22" i="13"/>
  <c r="AC23" i="13"/>
  <c r="AI23" i="13" s="1"/>
  <c r="AC24" i="13"/>
  <c r="AC17" i="13"/>
  <c r="AI19" i="13"/>
  <c r="AI18" i="13"/>
  <c r="O18" i="13"/>
  <c r="O19" i="13"/>
  <c r="O20" i="13"/>
  <c r="O21" i="13"/>
  <c r="O22" i="13"/>
  <c r="O23" i="13"/>
  <c r="O24" i="13"/>
  <c r="O17" i="13"/>
  <c r="N18" i="13"/>
  <c r="N19" i="13"/>
  <c r="N20" i="13"/>
  <c r="N21" i="13"/>
  <c r="N22" i="13"/>
  <c r="N23" i="13"/>
  <c r="N24" i="13"/>
  <c r="N17" i="13"/>
  <c r="M18" i="13"/>
  <c r="M19" i="13"/>
  <c r="M20" i="13"/>
  <c r="M21" i="13"/>
  <c r="M22" i="13"/>
  <c r="M23" i="13"/>
  <c r="M24" i="13"/>
  <c r="M17" i="13"/>
  <c r="L18" i="13"/>
  <c r="L19" i="13"/>
  <c r="L20" i="13"/>
  <c r="L21" i="13"/>
  <c r="L22" i="13"/>
  <c r="L23" i="13"/>
  <c r="L24" i="13"/>
  <c r="L17" i="13"/>
  <c r="K18" i="13"/>
  <c r="K19" i="13"/>
  <c r="K20" i="13"/>
  <c r="K21" i="13"/>
  <c r="K22" i="13"/>
  <c r="K23" i="13"/>
  <c r="K24" i="13"/>
  <c r="K17" i="13"/>
  <c r="X41" i="13"/>
  <c r="W41" i="13"/>
  <c r="AP14" i="13"/>
  <c r="AO14" i="13"/>
  <c r="AN14" i="13"/>
  <c r="AM14" i="13"/>
  <c r="AL14" i="13"/>
  <c r="X40" i="13"/>
  <c r="W40" i="13"/>
  <c r="V40" i="13"/>
  <c r="U40" i="13"/>
  <c r="T40" i="13"/>
  <c r="X27" i="13"/>
  <c r="W27" i="13"/>
  <c r="V27" i="13"/>
  <c r="U27" i="13"/>
  <c r="T27" i="13"/>
  <c r="X14" i="13"/>
  <c r="W14" i="13"/>
  <c r="V14" i="13"/>
  <c r="U14" i="13"/>
  <c r="T14" i="13"/>
  <c r="F14" i="13"/>
  <c r="E14" i="13"/>
  <c r="D14" i="13"/>
  <c r="C14" i="13"/>
  <c r="B14" i="13"/>
  <c r="F27" i="13"/>
  <c r="E27" i="13"/>
  <c r="D27" i="13"/>
  <c r="C27" i="13"/>
  <c r="B27" i="13"/>
  <c r="F40" i="13"/>
  <c r="E40" i="13"/>
  <c r="D40" i="13"/>
  <c r="C40" i="13"/>
  <c r="B40" i="13"/>
  <c r="T12" i="13"/>
  <c r="U12" i="13"/>
  <c r="V12" i="13"/>
  <c r="W12" i="13"/>
  <c r="X12" i="13"/>
  <c r="F12" i="13"/>
  <c r="E12" i="13"/>
  <c r="D12" i="13"/>
  <c r="C12" i="13"/>
  <c r="B12" i="13"/>
  <c r="H11" i="13"/>
  <c r="H10" i="13"/>
  <c r="H9" i="13"/>
  <c r="H8" i="13"/>
  <c r="H7" i="13"/>
  <c r="H6" i="13"/>
  <c r="H5" i="13"/>
  <c r="H4" i="13"/>
  <c r="H24" i="13"/>
  <c r="H23" i="13"/>
  <c r="H22" i="13"/>
  <c r="H21" i="13"/>
  <c r="H20" i="13"/>
  <c r="H19" i="13"/>
  <c r="H18" i="13"/>
  <c r="H17" i="13"/>
  <c r="H37" i="13"/>
  <c r="H36" i="13"/>
  <c r="H35" i="13"/>
  <c r="H34" i="13"/>
  <c r="H33" i="13"/>
  <c r="H32" i="13"/>
  <c r="H31" i="13"/>
  <c r="H30" i="13"/>
  <c r="Z37" i="13"/>
  <c r="Z36" i="13"/>
  <c r="Z35" i="13"/>
  <c r="Z34" i="13"/>
  <c r="Z33" i="13"/>
  <c r="Z32" i="13"/>
  <c r="Z31" i="13"/>
  <c r="Z30" i="13"/>
  <c r="Z24" i="13"/>
  <c r="Z23" i="13"/>
  <c r="Z22" i="13"/>
  <c r="Z21" i="13"/>
  <c r="Z20" i="13"/>
  <c r="Z19" i="13"/>
  <c r="Z18" i="13"/>
  <c r="Z17" i="13"/>
  <c r="Z11" i="13"/>
  <c r="Z10" i="13"/>
  <c r="Z9" i="13"/>
  <c r="Z8" i="13"/>
  <c r="Z7" i="13"/>
  <c r="Z6" i="13"/>
  <c r="Z5" i="13"/>
  <c r="Z4" i="13"/>
  <c r="F39" i="13"/>
  <c r="E39" i="13"/>
  <c r="D39" i="13"/>
  <c r="C39" i="13"/>
  <c r="B39" i="13"/>
  <c r="F26" i="13"/>
  <c r="O26" i="13" s="1"/>
  <c r="E26" i="13"/>
  <c r="N26" i="13" s="1"/>
  <c r="D26" i="13"/>
  <c r="M26" i="13" s="1"/>
  <c r="C26" i="13"/>
  <c r="L26" i="13" s="1"/>
  <c r="B26" i="13"/>
  <c r="K26" i="13" s="1"/>
  <c r="F13" i="13"/>
  <c r="E13" i="13"/>
  <c r="D13" i="13"/>
  <c r="C13" i="13"/>
  <c r="B13" i="13"/>
  <c r="X38" i="13"/>
  <c r="W38" i="13"/>
  <c r="V38" i="13"/>
  <c r="U38" i="13"/>
  <c r="T38" i="13"/>
  <c r="X25" i="13"/>
  <c r="W25" i="13"/>
  <c r="V25" i="13"/>
  <c r="U25" i="13"/>
  <c r="T25" i="13"/>
  <c r="T13" i="13"/>
  <c r="T26" i="13"/>
  <c r="X39" i="13"/>
  <c r="W39" i="13"/>
  <c r="V39" i="13"/>
  <c r="U39" i="13"/>
  <c r="T39" i="13"/>
  <c r="X26" i="13"/>
  <c r="W26" i="13"/>
  <c r="V26" i="13"/>
  <c r="U26" i="13"/>
  <c r="X13" i="13"/>
  <c r="W13" i="13"/>
  <c r="V13" i="13"/>
  <c r="U13" i="13"/>
  <c r="BA21" i="13" l="1"/>
  <c r="BA22" i="13"/>
  <c r="BA19" i="13"/>
  <c r="BA24" i="13"/>
  <c r="BA20" i="13"/>
  <c r="BA6" i="13"/>
  <c r="BA8" i="13"/>
  <c r="BA7" i="13"/>
  <c r="AY14" i="13"/>
  <c r="BA9" i="13"/>
  <c r="AX14" i="13"/>
  <c r="BA11" i="13"/>
  <c r="AX13" i="13"/>
  <c r="AV13" i="13"/>
  <c r="BA4" i="13"/>
  <c r="AU14" i="13"/>
  <c r="AF26" i="13"/>
  <c r="AI21" i="13"/>
  <c r="AE26" i="13"/>
  <c r="AI22" i="13"/>
  <c r="AG27" i="13"/>
  <c r="AE27" i="13"/>
  <c r="AD27" i="13"/>
  <c r="AI17" i="13"/>
  <c r="AI20" i="13"/>
  <c r="Q17" i="13"/>
  <c r="M27" i="13"/>
  <c r="L27" i="13"/>
  <c r="K27" i="13"/>
  <c r="Q18" i="13"/>
  <c r="O27" i="13"/>
  <c r="Q24" i="13"/>
  <c r="N27" i="13"/>
  <c r="Q23" i="13"/>
  <c r="Q21" i="13"/>
  <c r="Q20" i="13"/>
  <c r="Q22" i="13"/>
  <c r="Q19" i="13"/>
  <c r="AP26" i="13"/>
  <c r="AO26" i="13"/>
  <c r="AN26" i="13"/>
  <c r="AM26" i="13"/>
  <c r="AL26" i="13"/>
  <c r="AP25" i="13"/>
  <c r="AO25" i="13"/>
  <c r="AN25" i="13"/>
  <c r="AM25" i="13"/>
  <c r="AL25" i="13"/>
  <c r="AR24" i="13"/>
  <c r="AQ24" i="13"/>
  <c r="AR23" i="13"/>
  <c r="AQ23" i="13"/>
  <c r="AR22" i="13"/>
  <c r="AQ22" i="13"/>
  <c r="AR21" i="13"/>
  <c r="AQ21" i="13"/>
  <c r="AR20" i="13"/>
  <c r="AQ20" i="13"/>
  <c r="AR19" i="13"/>
  <c r="AQ19" i="13"/>
  <c r="AR18" i="13"/>
  <c r="AQ18" i="13"/>
  <c r="AR17" i="13"/>
  <c r="AQ17" i="13"/>
  <c r="AM12" i="13"/>
  <c r="AN12" i="13"/>
  <c r="AO12" i="13"/>
  <c r="AP12" i="13"/>
  <c r="AL12" i="13"/>
  <c r="AQ5" i="13"/>
  <c r="AQ6" i="13"/>
  <c r="AQ7" i="13"/>
  <c r="AQ8" i="13"/>
  <c r="AQ9" i="13"/>
  <c r="AQ10" i="13"/>
  <c r="AQ11" i="13"/>
  <c r="AQ4" i="13"/>
  <c r="AQ25" i="13" l="1"/>
  <c r="AQ14" i="13"/>
  <c r="AQ12" i="13"/>
  <c r="AR11" i="13" l="1"/>
  <c r="AR10" i="13"/>
  <c r="AR9" i="13"/>
  <c r="AR8" i="13"/>
  <c r="AR7" i="13"/>
  <c r="AR6" i="13"/>
  <c r="AR5" i="13"/>
  <c r="AR4" i="13"/>
  <c r="AP13" i="13"/>
  <c r="AO13" i="13"/>
  <c r="AN13" i="13"/>
  <c r="AM13" i="13"/>
  <c r="AL13" i="13"/>
  <c r="Y37" i="13" l="1"/>
  <c r="Y36" i="13"/>
  <c r="Y35" i="13"/>
  <c r="Y34" i="13"/>
  <c r="Y33" i="13"/>
  <c r="Y32" i="13"/>
  <c r="Y31" i="13"/>
  <c r="Y30" i="13"/>
  <c r="Y24" i="13"/>
  <c r="Y23" i="13"/>
  <c r="Y22" i="13"/>
  <c r="Y21" i="13"/>
  <c r="Y20" i="13"/>
  <c r="Y19" i="13"/>
  <c r="Y18" i="13"/>
  <c r="Y17" i="13"/>
  <c r="Y11" i="13"/>
  <c r="Y10" i="13"/>
  <c r="Y9" i="13"/>
  <c r="Y8" i="13"/>
  <c r="Y7" i="13"/>
  <c r="Y6" i="13"/>
  <c r="Y5" i="13"/>
  <c r="Y4" i="13"/>
  <c r="F38" i="13"/>
  <c r="E38" i="13"/>
  <c r="D38" i="13"/>
  <c r="C38" i="13"/>
  <c r="B38" i="13"/>
  <c r="G37" i="13"/>
  <c r="G36" i="13"/>
  <c r="G35" i="13"/>
  <c r="G34" i="13"/>
  <c r="G33" i="13"/>
  <c r="G32" i="13"/>
  <c r="G31" i="13"/>
  <c r="G30" i="13"/>
  <c r="F25" i="13"/>
  <c r="E25" i="13"/>
  <c r="D25" i="13"/>
  <c r="C25" i="13"/>
  <c r="B25" i="13"/>
  <c r="G24" i="13"/>
  <c r="G23" i="13"/>
  <c r="G22" i="13"/>
  <c r="G21" i="13"/>
  <c r="G20" i="13"/>
  <c r="G19" i="13"/>
  <c r="G18" i="13"/>
  <c r="G17" i="13"/>
  <c r="G11" i="13"/>
  <c r="G10" i="13"/>
  <c r="G9" i="13"/>
  <c r="G8" i="13"/>
  <c r="G7" i="13"/>
  <c r="G6" i="13"/>
  <c r="G5" i="13"/>
  <c r="G4" i="13"/>
  <c r="Y27" i="13" l="1"/>
  <c r="G27" i="13"/>
  <c r="G40" i="13"/>
  <c r="G14" i="13"/>
  <c r="Y38" i="13"/>
  <c r="Y40" i="13"/>
  <c r="Y14" i="13"/>
  <c r="Y12" i="13"/>
  <c r="Y25" i="13"/>
  <c r="G38" i="13"/>
  <c r="G12" i="13"/>
  <c r="G25" i="13"/>
  <c r="L55" i="4" l="1"/>
  <c r="L3" i="4"/>
</calcChain>
</file>

<file path=xl/sharedStrings.xml><?xml version="1.0" encoding="utf-8"?>
<sst xmlns="http://schemas.openxmlformats.org/spreadsheetml/2006/main" count="1977" uniqueCount="189">
  <si>
    <t>experiment</t>
  </si>
  <si>
    <t>mmgbsa-gb1</t>
  </si>
  <si>
    <t>mmgbsa-gb2</t>
  </si>
  <si>
    <t>mmgbsa-gb5</t>
  </si>
  <si>
    <t>mmgbsa-gb66</t>
  </si>
  <si>
    <t>mmgbsa-gb7</t>
  </si>
  <si>
    <t>mmgbsa-gb8</t>
  </si>
  <si>
    <t>mmpbsa-inp1</t>
  </si>
  <si>
    <t>mmpbsa-inp2</t>
  </si>
  <si>
    <t>D1</t>
  </si>
  <si>
    <t>D10</t>
  </si>
  <si>
    <t>D11</t>
  </si>
  <si>
    <t>D13</t>
  </si>
  <si>
    <t>D14</t>
  </si>
  <si>
    <t>D15</t>
  </si>
  <si>
    <t>D16</t>
  </si>
  <si>
    <t>D2</t>
  </si>
  <si>
    <t>D3</t>
  </si>
  <si>
    <t>D4</t>
  </si>
  <si>
    <t>D5</t>
  </si>
  <si>
    <t>D6</t>
  </si>
  <si>
    <t>D7</t>
  </si>
  <si>
    <t>D8</t>
  </si>
  <si>
    <t>D9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</si>
  <si>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</si>
  <si>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</si>
  <si>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</si>
  <si>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</si>
  <si>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</si>
  <si>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</si>
  <si>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</si>
  <si>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</si>
  <si>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</si>
  <si>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L10a</t>
  </si>
  <si>
    <t>L10b</t>
  </si>
  <si>
    <t>L10c</t>
  </si>
  <si>
    <t>L10d</t>
  </si>
  <si>
    <t>L11a</t>
  </si>
  <si>
    <t>L11a1</t>
  </si>
  <si>
    <t>L11b</t>
  </si>
  <si>
    <t>L11c</t>
  </si>
  <si>
    <t>L11e</t>
  </si>
  <si>
    <t>L13a</t>
  </si>
  <si>
    <t>L13b</t>
  </si>
  <si>
    <t>L13c</t>
  </si>
  <si>
    <t>L13d</t>
  </si>
  <si>
    <t>L13e</t>
  </si>
  <si>
    <t>L13f</t>
  </si>
  <si>
    <t>L13g</t>
  </si>
  <si>
    <t>L14a</t>
  </si>
  <si>
    <t>L14b</t>
  </si>
  <si>
    <t>L14c</t>
  </si>
  <si>
    <t>L14d</t>
  </si>
  <si>
    <t>L15a</t>
  </si>
  <si>
    <t>L15b</t>
  </si>
  <si>
    <t>L15c</t>
  </si>
  <si>
    <t>L16a</t>
  </si>
  <si>
    <t>L16b</t>
  </si>
  <si>
    <t>L16c</t>
  </si>
  <si>
    <t>L16d</t>
  </si>
  <si>
    <t>L16e</t>
  </si>
  <si>
    <t>L1a</t>
  </si>
  <si>
    <t>L1b</t>
  </si>
  <si>
    <t>L1c</t>
  </si>
  <si>
    <t>L1d</t>
  </si>
  <si>
    <t>L2a</t>
  </si>
  <si>
    <t>L2b</t>
  </si>
  <si>
    <t>L2c</t>
  </si>
  <si>
    <t>L2d</t>
  </si>
  <si>
    <t>L2e</t>
  </si>
  <si>
    <t>L3a</t>
  </si>
  <si>
    <t>L3b</t>
  </si>
  <si>
    <t>L3c</t>
  </si>
  <si>
    <t>L3d</t>
  </si>
  <si>
    <t>L3e</t>
  </si>
  <si>
    <t>L4a</t>
  </si>
  <si>
    <t>L4b</t>
  </si>
  <si>
    <t>L4c</t>
  </si>
  <si>
    <t>L4d</t>
  </si>
  <si>
    <t>L5a</t>
  </si>
  <si>
    <t>L5a1</t>
  </si>
  <si>
    <t>L5b</t>
  </si>
  <si>
    <t>L5c</t>
  </si>
  <si>
    <t>L5d</t>
  </si>
  <si>
    <t>L6a</t>
  </si>
  <si>
    <t>L6b</t>
  </si>
  <si>
    <t>L6b2</t>
  </si>
  <si>
    <t>L6c</t>
  </si>
  <si>
    <t>L7a</t>
  </si>
  <si>
    <t>L7b</t>
  </si>
  <si>
    <t>L7c</t>
  </si>
  <si>
    <t>L7d</t>
  </si>
  <si>
    <t>L8a</t>
  </si>
  <si>
    <t>L8a1</t>
  </si>
  <si>
    <t>L8b</t>
  </si>
  <si>
    <t>L8c</t>
  </si>
  <si>
    <t>L9a</t>
  </si>
  <si>
    <t>L9b</t>
  </si>
  <si>
    <t>L9c</t>
  </si>
  <si>
    <t>LT1a</t>
  </si>
  <si>
    <t>LT1b</t>
  </si>
  <si>
    <t>LT1c</t>
  </si>
  <si>
    <t>LT2a</t>
  </si>
  <si>
    <t>LT2b</t>
  </si>
  <si>
    <t>LT2c</t>
  </si>
  <si>
    <t>LT3a</t>
  </si>
  <si>
    <t>LT3b</t>
  </si>
  <si>
    <t>LT3c</t>
  </si>
  <si>
    <t>LT4a</t>
  </si>
  <si>
    <t>LT4b</t>
  </si>
  <si>
    <t>LT4c</t>
  </si>
  <si>
    <t>LT4d</t>
  </si>
  <si>
    <t>LT4e</t>
  </si>
  <si>
    <t>LT4f</t>
  </si>
  <si>
    <t>LT5a</t>
  </si>
  <si>
    <t>LT5b</t>
  </si>
  <si>
    <t>LT5c</t>
  </si>
  <si>
    <t>LT5d</t>
  </si>
  <si>
    <t>LT5e</t>
  </si>
  <si>
    <t>LT5f</t>
  </si>
  <si>
    <t>LT6a</t>
  </si>
  <si>
    <t>LT6b</t>
  </si>
  <si>
    <t>LT6c</t>
  </si>
  <si>
    <t>LT7a</t>
  </si>
  <si>
    <t>LT7b</t>
  </si>
  <si>
    <t>LT7c</t>
  </si>
  <si>
    <t>LT8a</t>
  </si>
  <si>
    <t>LT8b</t>
  </si>
  <si>
    <t>LT8c</t>
  </si>
  <si>
    <t>LT9a</t>
  </si>
  <si>
    <t>LT9b</t>
  </si>
  <si>
    <t>LT9c</t>
  </si>
  <si>
    <t>name</t>
  </si>
  <si>
    <t>gb1</t>
  </si>
  <si>
    <t>gb2</t>
  </si>
  <si>
    <t>gb5</t>
  </si>
  <si>
    <t>gb66</t>
  </si>
  <si>
    <t>gb7</t>
  </si>
  <si>
    <t>gb8</t>
  </si>
  <si>
    <t>pb1</t>
  </si>
  <si>
    <t>pb2</t>
  </si>
  <si>
    <t>mmgbsa-gb88</t>
  </si>
  <si>
    <t>mmgbsa-nastruct-filtered-gb1</t>
  </si>
  <si>
    <t>mmgbsa-nastruct-filtered-gb2</t>
  </si>
  <si>
    <t>mmgbsa-nastruct-filtered-gb5</t>
  </si>
  <si>
    <t>mmgbsa-nastruct-filtered-gb66</t>
  </si>
  <si>
    <t>mmgbsa-nastruct-filtered-gb7</t>
  </si>
  <si>
    <t>mmgbsa-nastruct-filtered-gb8</t>
  </si>
  <si>
    <t>mmgbsa-nastruct-filtered-gb88</t>
  </si>
  <si>
    <t>mmpbsa-nastruct-filtered-inp1</t>
  </si>
  <si>
    <t>mmpbsa-nastruct-filtered-inp2</t>
  </si>
  <si>
    <t>GBNSR6</t>
  </si>
  <si>
    <t>OL21</t>
  </si>
  <si>
    <t>OL21+LJbb</t>
  </si>
  <si>
    <t>OL24</t>
  </si>
  <si>
    <t>BSC1</t>
  </si>
  <si>
    <t>OL21+CUFIX</t>
  </si>
  <si>
    <t>PB1</t>
  </si>
  <si>
    <t>PB2</t>
  </si>
  <si>
    <r>
      <t>GB</t>
    </r>
    <r>
      <rPr>
        <vertAlign val="superscript"/>
        <sz val="12"/>
        <color theme="1"/>
        <rFont val="Arial"/>
        <family val="2"/>
      </rPr>
      <t>HCT</t>
    </r>
  </si>
  <si>
    <r>
      <t>GB</t>
    </r>
    <r>
      <rPr>
        <vertAlign val="superscript"/>
        <sz val="12"/>
        <color theme="1"/>
        <rFont val="Arial"/>
        <family val="2"/>
      </rPr>
      <t>OBC</t>
    </r>
  </si>
  <si>
    <r>
      <t>GB</t>
    </r>
    <r>
      <rPr>
        <vertAlign val="superscript"/>
        <sz val="12"/>
        <color theme="1"/>
        <rFont val="Arial"/>
        <family val="2"/>
      </rPr>
      <t>OBC2</t>
    </r>
  </si>
  <si>
    <t>GBn</t>
  </si>
  <si>
    <t>GB-Neck2nuc</t>
  </si>
  <si>
    <t>Average</t>
  </si>
  <si>
    <t>Table 1: Slope, Y-intercept, and Correlation Coefficient (R^2) of linear fits for short constructs, all frames</t>
  </si>
  <si>
    <t>Slope:</t>
  </si>
  <si>
    <t>Correlation Coefficient:</t>
  </si>
  <si>
    <t>Name</t>
  </si>
  <si>
    <t>Table 2: Slope, Y-intercept, and Correlation Coefficient (R^2) of linear fits for short constructs, frames limited by fully intact</t>
  </si>
  <si>
    <t>MAE (all frames)</t>
  </si>
  <si>
    <t>MAE (filtered frames):</t>
  </si>
  <si>
    <t>new gbnsr6</t>
  </si>
  <si>
    <t>Std. Dev</t>
  </si>
  <si>
    <t>Average(-PB2)</t>
  </si>
  <si>
    <t>Avg-pb2</t>
  </si>
  <si>
    <t>Full Trajectories</t>
  </si>
  <si>
    <t>Filtered by base pairing frames</t>
  </si>
  <si>
    <t>Intercept kcal/mol:</t>
  </si>
  <si>
    <t>Intercept kJ/mol</t>
  </si>
  <si>
    <t>Intercep kJ/mol</t>
  </si>
  <si>
    <t>Intercept kcal/mol</t>
  </si>
  <si>
    <t>exp</t>
  </si>
  <si>
    <t>Full trajectories</t>
  </si>
  <si>
    <t>Filtered by base paired frames</t>
  </si>
  <si>
    <t>Full trajectory</t>
  </si>
  <si>
    <t>Filtered by base paired</t>
  </si>
  <si>
    <t xml:space="preserve">name </t>
  </si>
  <si>
    <t>Full 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</si>
</sst>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i/>
      <sz val="12"/>
      <color theme="1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5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" xfId="1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1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3" fillId="0" borderId="0" xfId="0" quotePrefix="1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2" fontId="3" fillId="0" borderId="0" xfId="0" applyNumberFormat="1" applyFont="1"/>
    <xf numFmtId="0" fontId="5" fillId="4" borderId="0" xfId="0" applyFont="1" applyFill="1" applyAlignment="1">
      <alignment horizontal="center"/>
    </xf>
    <xf numFmtId="164" fontId="0" fillId="0" borderId="0" xfId="0" applyNumberFormat="1"/>
    <xf numFmtId="2" fontId="3" fillId="2" borderId="0" xfId="0" applyNumberFormat="1" applyFont="1" applyFill="1" applyAlignment="1">
      <alignment horizontal="center"/>
    </xf>
    <xf numFmtId="2" fontId="3" fillId="2" borderId="0" xfId="0" quotePrefix="1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165" fontId="0" fillId="0" borderId="0" xfId="0" applyNumberFormat="1"/>
    <xf numFmtId="2" fontId="11" fillId="0" borderId="0" xfId="1" applyNumberFormat="1" applyFont="1" applyFill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12" fillId="0" borderId="0" xfId="0" applyFont="1"/>
    <xf numFmtId="0" fontId="8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DDCD93"/>
      <color rgb="FFFE9F6D"/>
      <color rgb="FFDE4968"/>
      <color rgb="FF8C2981"/>
      <color rgb="FF3B0F7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5"/>
  <sheetViews>
    <sheetView tabSelected="1" workbookViewId="0">
      <selection activeCell="A3" sqref="A3:B125"/>
    </sheetView>
  </sheetViews>
  <sheetFormatPr defaultRowHeight="14.5" x14ac:dyDescent="0.35"/>
  <cols>
    <col min="2" max="3" width="12.26953125" style="4" bestFit="1" customWidth="1"/>
    <col min="4" max="4" width="9.453125" style="4" bestFit="1" customWidth="1"/>
    <col min="5" max="5" width="13.453125" style="34" bestFit="1" customWidth="1"/>
    <col min="6" max="6" width="12.7265625" style="4" bestFit="1" customWidth="1"/>
    <col min="7" max="7" width="12.26953125" style="4" bestFit="1" customWidth="1"/>
    <col min="8" max="8" width="13.26953125" style="4" bestFit="1" customWidth="1"/>
    <col min="9" max="9" width="8.7265625" style="4"/>
  </cols>
  <sheetData>
    <row r="1" spans="1:22" x14ac:dyDescent="0.35">
      <c r="C1"/>
      <c r="D1" s="4" t="s">
        <v>183</v>
      </c>
      <c r="E1" s="4"/>
      <c r="G1" s="34"/>
      <c r="J1" s="4"/>
      <c r="K1" s="4"/>
      <c r="N1" t="s">
        <v>184</v>
      </c>
    </row>
    <row r="2" spans="1:22" x14ac:dyDescent="0.35">
      <c r="C2" t="s">
        <v>132</v>
      </c>
      <c r="D2" s="4" t="s">
        <v>133</v>
      </c>
      <c r="E2" s="4" t="s">
        <v>134</v>
      </c>
      <c r="F2" s="4" t="s">
        <v>135</v>
      </c>
      <c r="G2" s="4" t="s">
        <v>136</v>
      </c>
      <c r="H2" s="4" t="s">
        <v>137</v>
      </c>
      <c r="I2" s="4" t="s">
        <v>138</v>
      </c>
      <c r="J2" s="4" t="s">
        <v>139</v>
      </c>
      <c r="K2" s="4" t="s">
        <v>140</v>
      </c>
      <c r="N2" s="4" t="s">
        <v>182</v>
      </c>
      <c r="O2" s="4" t="s">
        <v>133</v>
      </c>
      <c r="P2" s="4" t="s">
        <v>134</v>
      </c>
      <c r="Q2" s="4" t="s">
        <v>135</v>
      </c>
      <c r="R2" s="4" t="s">
        <v>136</v>
      </c>
      <c r="S2" s="4" t="s">
        <v>137</v>
      </c>
      <c r="T2" s="4" t="s">
        <v>138</v>
      </c>
      <c r="U2" s="4" t="s">
        <v>139</v>
      </c>
      <c r="V2" s="4" t="s">
        <v>140</v>
      </c>
    </row>
    <row r="3" spans="1:22" x14ac:dyDescent="0.35">
      <c r="A3" s="1" t="s">
        <v>9</v>
      </c>
      <c r="B3" s="2">
        <f>-80.6</f>
        <v>-80.599999999999994</v>
      </c>
      <c r="C3" t="s">
        <v>9</v>
      </c>
      <c r="D3" s="4">
        <v>-100.3736</v>
      </c>
      <c r="E3" s="4">
        <v>-81.770099999999999</v>
      </c>
      <c r="F3" s="4">
        <v>-91.699600000000004</v>
      </c>
      <c r="G3" s="4">
        <v>-97.409199999999998</v>
      </c>
      <c r="H3" s="4">
        <v>-65.206000000000003</v>
      </c>
      <c r="I3" s="4">
        <v>-98.684899999999999</v>
      </c>
      <c r="J3" s="4">
        <v>-82.255099999999999</v>
      </c>
      <c r="K3" s="4">
        <v>-45.302399999999999</v>
      </c>
      <c r="M3" t="s">
        <v>9</v>
      </c>
      <c r="N3">
        <v>-80.599999999999994</v>
      </c>
      <c r="O3">
        <v>-101.0042</v>
      </c>
      <c r="P3">
        <v>-82.3874</v>
      </c>
      <c r="Q3">
        <v>-92.383399999999995</v>
      </c>
      <c r="R3">
        <v>-97.817599999999999</v>
      </c>
      <c r="S3">
        <v>-65.685000000000002</v>
      </c>
      <c r="T3">
        <v>-99.157399999999996</v>
      </c>
      <c r="U3">
        <v>-82.893799999999999</v>
      </c>
      <c r="V3">
        <v>-45.991199999999999</v>
      </c>
    </row>
    <row r="4" spans="1:22" x14ac:dyDescent="0.35">
      <c r="A4" s="1" t="s">
        <v>10</v>
      </c>
      <c r="B4">
        <v>-75.3</v>
      </c>
      <c r="C4" t="s">
        <v>10</v>
      </c>
      <c r="D4" s="4">
        <v>-99.165599999999998</v>
      </c>
      <c r="E4" s="4">
        <v>-78.530100000000004</v>
      </c>
      <c r="F4" s="4">
        <v>-86.959100000000007</v>
      </c>
      <c r="G4" s="4">
        <v>-94.995900000000006</v>
      </c>
      <c r="H4" s="4">
        <v>-66.140699999999995</v>
      </c>
      <c r="I4" s="4">
        <v>-100.53449999999999</v>
      </c>
      <c r="J4" s="4">
        <v>-74.985200000000006</v>
      </c>
      <c r="K4" s="4">
        <v>-27.304600000000001</v>
      </c>
      <c r="M4" t="s">
        <v>16</v>
      </c>
      <c r="N4">
        <v>-80.3</v>
      </c>
      <c r="O4">
        <v>-107.3283</v>
      </c>
      <c r="P4">
        <v>-87.081500000000005</v>
      </c>
      <c r="Q4">
        <v>-98.281599999999997</v>
      </c>
      <c r="R4">
        <v>-101.7911</v>
      </c>
      <c r="S4">
        <v>-69.627499999999998</v>
      </c>
      <c r="T4">
        <v>-106.5669</v>
      </c>
      <c r="U4">
        <v>-87.059100000000001</v>
      </c>
      <c r="V4">
        <v>-40.994300000000003</v>
      </c>
    </row>
    <row r="5" spans="1:22" x14ac:dyDescent="0.35">
      <c r="A5" s="1" t="s">
        <v>11</v>
      </c>
      <c r="B5">
        <v>-57.2</v>
      </c>
      <c r="C5" t="s">
        <v>11</v>
      </c>
      <c r="D5" s="4">
        <v>-84.132000000000005</v>
      </c>
      <c r="E5" s="4">
        <v>-67.317300000000003</v>
      </c>
      <c r="F5" s="4">
        <v>-74.761600000000001</v>
      </c>
      <c r="G5" s="4">
        <v>-78.030900000000003</v>
      </c>
      <c r="H5" s="4">
        <v>-53.982799999999997</v>
      </c>
      <c r="I5" s="4">
        <v>-77.468100000000007</v>
      </c>
      <c r="J5" s="4">
        <v>-68.563999999999993</v>
      </c>
      <c r="K5" s="4">
        <v>-31.236599999999999</v>
      </c>
      <c r="M5" t="s">
        <v>17</v>
      </c>
      <c r="N5">
        <v>-79.3</v>
      </c>
      <c r="O5">
        <v>-115.3965</v>
      </c>
      <c r="P5">
        <v>-94.155000000000001</v>
      </c>
      <c r="Q5">
        <v>-106.1108</v>
      </c>
      <c r="R5">
        <v>-87.151200000000003</v>
      </c>
      <c r="S5">
        <v>-75.041600000000003</v>
      </c>
      <c r="T5">
        <v>-113.2059</v>
      </c>
      <c r="U5">
        <v>-95.367000000000004</v>
      </c>
      <c r="V5">
        <v>-40.725299999999997</v>
      </c>
    </row>
    <row r="6" spans="1:22" x14ac:dyDescent="0.35">
      <c r="A6" s="1" t="s">
        <v>12</v>
      </c>
      <c r="B6">
        <v>-72.599999999999994</v>
      </c>
      <c r="C6" t="s">
        <v>12</v>
      </c>
      <c r="D6" s="4">
        <v>-106.6058</v>
      </c>
      <c r="E6" s="4">
        <v>-86.473399999999998</v>
      </c>
      <c r="F6" s="4">
        <v>-96.993799999999993</v>
      </c>
      <c r="G6" s="4">
        <v>-102.41240000000001</v>
      </c>
      <c r="H6" s="4">
        <v>-69.188400000000001</v>
      </c>
      <c r="I6" s="4">
        <v>-100.39019999999999</v>
      </c>
      <c r="J6" s="4">
        <v>-84.676900000000003</v>
      </c>
      <c r="K6" s="4">
        <v>-42.209899999999998</v>
      </c>
      <c r="M6" t="s">
        <v>18</v>
      </c>
      <c r="N6">
        <v>-77.2</v>
      </c>
      <c r="O6">
        <v>-105.3616</v>
      </c>
      <c r="P6">
        <v>-86.7624</v>
      </c>
      <c r="Q6">
        <v>-97.6267</v>
      </c>
      <c r="R6">
        <v>-107.9267</v>
      </c>
      <c r="S6">
        <v>-69.031499999999994</v>
      </c>
      <c r="T6">
        <v>-101.92740000000001</v>
      </c>
      <c r="U6">
        <v>-86.689899999999994</v>
      </c>
      <c r="V6">
        <v>-49.197000000000003</v>
      </c>
    </row>
    <row r="7" spans="1:22" x14ac:dyDescent="0.35">
      <c r="A7" s="1" t="s">
        <v>13</v>
      </c>
      <c r="B7">
        <v>-67.3</v>
      </c>
      <c r="C7" t="s">
        <v>13</v>
      </c>
      <c r="D7" s="4">
        <v>-84.523600000000002</v>
      </c>
      <c r="E7" s="4">
        <v>-66.096800000000002</v>
      </c>
      <c r="F7" s="4">
        <v>-73.582899999999995</v>
      </c>
      <c r="G7" s="4">
        <v>-81.330500000000001</v>
      </c>
      <c r="H7" s="4">
        <v>-52.671300000000002</v>
      </c>
      <c r="I7" s="4">
        <v>-81.988399999999999</v>
      </c>
      <c r="J7" s="4">
        <v>-69.243799999999993</v>
      </c>
      <c r="K7" s="4">
        <v>-30.5884</v>
      </c>
      <c r="M7" t="s">
        <v>19</v>
      </c>
      <c r="N7">
        <v>-82.4</v>
      </c>
      <c r="O7">
        <v>-109.83969999999999</v>
      </c>
      <c r="P7">
        <v>-88.871300000000005</v>
      </c>
      <c r="Q7">
        <v>-99.951899999999995</v>
      </c>
      <c r="R7">
        <v>-90.179699999999997</v>
      </c>
      <c r="S7">
        <v>-69.897099999999995</v>
      </c>
      <c r="T7">
        <v>-106.2075</v>
      </c>
      <c r="U7">
        <v>-88.37</v>
      </c>
      <c r="V7">
        <v>-39.196199999999997</v>
      </c>
    </row>
    <row r="8" spans="1:22" x14ac:dyDescent="0.35">
      <c r="A8" s="1" t="s">
        <v>14</v>
      </c>
      <c r="B8">
        <v>-49</v>
      </c>
      <c r="C8" t="s">
        <v>14</v>
      </c>
      <c r="D8" s="4">
        <v>-92.301599999999993</v>
      </c>
      <c r="E8" s="4">
        <v>-76.180400000000006</v>
      </c>
      <c r="F8" s="4">
        <v>-85.078500000000005</v>
      </c>
      <c r="G8" s="4">
        <v>-88.437600000000003</v>
      </c>
      <c r="H8" s="4">
        <v>-62.070900000000002</v>
      </c>
      <c r="I8" s="4">
        <v>-90.482299999999995</v>
      </c>
      <c r="J8" s="4">
        <v>-74.839399999999998</v>
      </c>
      <c r="K8" s="4">
        <v>-37.657400000000003</v>
      </c>
      <c r="M8" t="s">
        <v>20</v>
      </c>
      <c r="N8">
        <v>-51.6</v>
      </c>
      <c r="O8">
        <v>-83.841200000000001</v>
      </c>
      <c r="P8">
        <v>-69.523700000000005</v>
      </c>
      <c r="Q8">
        <v>-78.358199999999997</v>
      </c>
      <c r="R8">
        <v>-89.041700000000006</v>
      </c>
      <c r="S8">
        <v>-54.3658</v>
      </c>
      <c r="T8">
        <v>-81.786799999999999</v>
      </c>
      <c r="U8">
        <v>-69.649500000000003</v>
      </c>
      <c r="V8">
        <v>-41.804099999999998</v>
      </c>
    </row>
    <row r="9" spans="1:22" x14ac:dyDescent="0.35">
      <c r="A9" s="1" t="s">
        <v>15</v>
      </c>
      <c r="B9">
        <v>-76.900000000000006</v>
      </c>
      <c r="C9" t="s">
        <v>15</v>
      </c>
      <c r="D9" s="4">
        <v>-97.1417</v>
      </c>
      <c r="E9" s="4">
        <v>-76.635400000000004</v>
      </c>
      <c r="F9" s="4">
        <v>-85.238</v>
      </c>
      <c r="G9" s="4">
        <v>-92.894199999999998</v>
      </c>
      <c r="H9" s="4">
        <v>-61.784100000000002</v>
      </c>
      <c r="I9" s="4">
        <v>-93.830600000000004</v>
      </c>
      <c r="J9" s="4">
        <v>-76.398799999999994</v>
      </c>
      <c r="K9" s="4">
        <v>-33.847099999999998</v>
      </c>
      <c r="M9" t="s">
        <v>21</v>
      </c>
      <c r="N9">
        <v>-90.8</v>
      </c>
      <c r="O9">
        <v>-117.3527</v>
      </c>
      <c r="P9">
        <v>-94.105500000000006</v>
      </c>
      <c r="Q9">
        <v>-105.0035</v>
      </c>
      <c r="R9">
        <v>-96.735500000000002</v>
      </c>
      <c r="S9">
        <v>-75.462100000000007</v>
      </c>
      <c r="T9">
        <v>-115.2568</v>
      </c>
      <c r="U9">
        <v>-92.974999999999994</v>
      </c>
      <c r="V9">
        <v>-38.387300000000003</v>
      </c>
    </row>
    <row r="10" spans="1:22" x14ac:dyDescent="0.35">
      <c r="A10" s="1" t="s">
        <v>16</v>
      </c>
      <c r="B10">
        <v>-80.3</v>
      </c>
      <c r="C10" t="s">
        <v>16</v>
      </c>
      <c r="D10" s="4">
        <v>-103.22580000000001</v>
      </c>
      <c r="E10" s="4">
        <v>-83.539299999999997</v>
      </c>
      <c r="F10" s="4">
        <v>-94.183000000000007</v>
      </c>
      <c r="G10" s="4">
        <v>-100.2723</v>
      </c>
      <c r="H10" s="4">
        <v>-66.916799999999995</v>
      </c>
      <c r="I10" s="4">
        <v>-102.0141</v>
      </c>
      <c r="J10" s="4">
        <v>-82.4191</v>
      </c>
      <c r="K10" s="4">
        <v>-40.697299999999998</v>
      </c>
      <c r="M10" t="s">
        <v>22</v>
      </c>
      <c r="N10">
        <v>-58.5</v>
      </c>
      <c r="O10">
        <v>-85.842699999999994</v>
      </c>
      <c r="P10">
        <v>-70.820499999999996</v>
      </c>
      <c r="Q10">
        <v>-79.970299999999995</v>
      </c>
      <c r="R10">
        <v>-105.40179999999999</v>
      </c>
      <c r="S10">
        <v>-55.657200000000003</v>
      </c>
      <c r="T10">
        <v>-82.215299999999999</v>
      </c>
      <c r="U10">
        <v>-73.996600000000001</v>
      </c>
      <c r="V10">
        <v>-45.369</v>
      </c>
    </row>
    <row r="11" spans="1:22" x14ac:dyDescent="0.35">
      <c r="A11" s="1" t="s">
        <v>17</v>
      </c>
      <c r="B11">
        <v>-79.3</v>
      </c>
      <c r="C11" t="s">
        <v>17</v>
      </c>
      <c r="D11" s="4">
        <v>-110.673</v>
      </c>
      <c r="E11" s="4">
        <v>-89.736999999999995</v>
      </c>
      <c r="F11" s="4">
        <v>-100.88030000000001</v>
      </c>
      <c r="G11" s="4">
        <v>-106.59950000000001</v>
      </c>
      <c r="H11" s="4">
        <v>-71.498999999999995</v>
      </c>
      <c r="I11" s="4">
        <v>-107.2833</v>
      </c>
      <c r="J11" s="4">
        <v>-89.471999999999994</v>
      </c>
      <c r="K11" s="4">
        <v>-46.869799999999998</v>
      </c>
      <c r="M11" t="s">
        <v>23</v>
      </c>
      <c r="N11">
        <v>-70.5</v>
      </c>
      <c r="O11">
        <v>-107.4786</v>
      </c>
      <c r="P11">
        <v>-88.549000000000007</v>
      </c>
      <c r="Q11">
        <v>-99.5672</v>
      </c>
      <c r="R11">
        <v>-113.0239</v>
      </c>
      <c r="S11">
        <v>-71.316699999999997</v>
      </c>
      <c r="T11">
        <v>-105.3933</v>
      </c>
      <c r="U11">
        <v>-90.901399999999995</v>
      </c>
      <c r="V11">
        <v>-53.589599999999997</v>
      </c>
    </row>
    <row r="12" spans="1:22" x14ac:dyDescent="0.35">
      <c r="A12" s="1" t="s">
        <v>18</v>
      </c>
      <c r="B12">
        <v>-77.2</v>
      </c>
      <c r="C12" t="s">
        <v>18</v>
      </c>
      <c r="D12" s="4">
        <v>-97.481800000000007</v>
      </c>
      <c r="E12" s="4">
        <v>-79.467500000000001</v>
      </c>
      <c r="F12" s="4">
        <v>-89.148300000000006</v>
      </c>
      <c r="G12" s="4">
        <v>-93.039900000000003</v>
      </c>
      <c r="H12" s="4">
        <v>-64.156499999999994</v>
      </c>
      <c r="I12" s="4">
        <v>-89.442400000000006</v>
      </c>
      <c r="J12" s="4">
        <v>-78.382300000000001</v>
      </c>
      <c r="K12" s="4">
        <v>-39.506900000000002</v>
      </c>
      <c r="M12" t="s">
        <v>10</v>
      </c>
      <c r="N12">
        <v>-75.3</v>
      </c>
      <c r="O12">
        <v>-103.5305</v>
      </c>
      <c r="P12">
        <v>-83.256900000000002</v>
      </c>
      <c r="Q12">
        <v>-93.589500000000001</v>
      </c>
      <c r="R12">
        <v>-100.74979999999999</v>
      </c>
      <c r="S12">
        <v>-66.159400000000005</v>
      </c>
      <c r="T12">
        <v>-102.6835</v>
      </c>
      <c r="U12">
        <v>-82.673000000000002</v>
      </c>
      <c r="V12">
        <v>-48.997100000000003</v>
      </c>
    </row>
    <row r="13" spans="1:22" x14ac:dyDescent="0.35">
      <c r="A13" s="1" t="s">
        <v>19</v>
      </c>
      <c r="B13">
        <v>-82.4</v>
      </c>
      <c r="C13" t="s">
        <v>19</v>
      </c>
      <c r="D13" s="4">
        <v>-104.2937</v>
      </c>
      <c r="E13" s="4">
        <v>-83.680899999999994</v>
      </c>
      <c r="F13" s="4">
        <v>-93.701899999999995</v>
      </c>
      <c r="G13" s="4">
        <v>-101.2811</v>
      </c>
      <c r="H13" s="4">
        <v>-67.478300000000004</v>
      </c>
      <c r="I13" s="4">
        <v>-101.4652</v>
      </c>
      <c r="J13" s="4">
        <v>-82.198499999999996</v>
      </c>
      <c r="K13" s="4">
        <v>-39.3367</v>
      </c>
      <c r="M13" t="s">
        <v>11</v>
      </c>
      <c r="N13">
        <v>-57.2</v>
      </c>
      <c r="O13">
        <v>-90.175299999999993</v>
      </c>
      <c r="P13">
        <v>-72.645099999999999</v>
      </c>
      <c r="Q13">
        <v>-81.375500000000002</v>
      </c>
      <c r="R13">
        <v>-106.1259</v>
      </c>
      <c r="S13">
        <v>-58.069200000000002</v>
      </c>
      <c r="T13">
        <v>-86.353300000000004</v>
      </c>
      <c r="U13">
        <v>-76.013099999999994</v>
      </c>
      <c r="V13">
        <v>-47.707999999999998</v>
      </c>
    </row>
    <row r="14" spans="1:22" x14ac:dyDescent="0.35">
      <c r="A14" s="1" t="s">
        <v>20</v>
      </c>
      <c r="B14">
        <v>-51.6</v>
      </c>
      <c r="C14" t="s">
        <v>20</v>
      </c>
      <c r="D14" s="4">
        <v>-77.559899999999999</v>
      </c>
      <c r="E14" s="4">
        <v>-63.69</v>
      </c>
      <c r="F14" s="4">
        <v>-70.989699999999999</v>
      </c>
      <c r="G14" s="4">
        <v>-72.037199999999999</v>
      </c>
      <c r="H14" s="4">
        <v>-51.633400000000002</v>
      </c>
      <c r="I14" s="4">
        <v>-74.022499999999994</v>
      </c>
      <c r="J14" s="4">
        <v>-62.281399999999998</v>
      </c>
      <c r="K14" s="4">
        <v>-31.261399999999998</v>
      </c>
      <c r="M14" t="s">
        <v>12</v>
      </c>
      <c r="N14">
        <v>-72.599999999999994</v>
      </c>
      <c r="O14">
        <v>-110.57</v>
      </c>
      <c r="P14">
        <v>-90.083799999999997</v>
      </c>
      <c r="Q14">
        <v>-101.3253</v>
      </c>
      <c r="R14">
        <v>-79.592699999999994</v>
      </c>
      <c r="S14">
        <v>-72.031000000000006</v>
      </c>
      <c r="T14">
        <v>-107.0692</v>
      </c>
      <c r="U14">
        <v>-89.901600000000002</v>
      </c>
      <c r="V14">
        <v>-42.217300000000002</v>
      </c>
    </row>
    <row r="15" spans="1:22" x14ac:dyDescent="0.35">
      <c r="A15" s="1" t="s">
        <v>21</v>
      </c>
      <c r="B15">
        <v>-90.8</v>
      </c>
      <c r="C15" t="s">
        <v>21</v>
      </c>
      <c r="D15" s="4">
        <v>-111.33880000000001</v>
      </c>
      <c r="E15" s="4">
        <v>-88.5214</v>
      </c>
      <c r="F15" s="4">
        <v>-98.465199999999996</v>
      </c>
      <c r="G15" s="4">
        <v>-107.3242</v>
      </c>
      <c r="H15" s="4">
        <v>-71.767899999999997</v>
      </c>
      <c r="I15" s="4">
        <v>-108.4225</v>
      </c>
      <c r="J15" s="4">
        <v>-86.000299999999996</v>
      </c>
      <c r="K15" s="4">
        <v>-38.042700000000004</v>
      </c>
      <c r="M15" t="s">
        <v>13</v>
      </c>
      <c r="N15">
        <v>-67.3</v>
      </c>
      <c r="O15">
        <v>-91.719499999999996</v>
      </c>
      <c r="P15">
        <v>-72.087400000000002</v>
      </c>
      <c r="Q15">
        <v>-80.309399999999997</v>
      </c>
      <c r="R15">
        <v>-113.87569999999999</v>
      </c>
      <c r="S15">
        <v>-57.353099999999998</v>
      </c>
      <c r="T15">
        <v>-87.444100000000006</v>
      </c>
      <c r="U15">
        <v>-77.616200000000006</v>
      </c>
      <c r="V15">
        <v>-46.467399999999998</v>
      </c>
    </row>
    <row r="16" spans="1:22" x14ac:dyDescent="0.35">
      <c r="A16" s="1" t="s">
        <v>22</v>
      </c>
      <c r="B16">
        <v>-58.5</v>
      </c>
      <c r="C16" t="s">
        <v>22</v>
      </c>
      <c r="D16" s="4">
        <v>-80.449700000000007</v>
      </c>
      <c r="E16" s="4">
        <v>-66.256399999999999</v>
      </c>
      <c r="F16" s="4">
        <v>-74.740499999999997</v>
      </c>
      <c r="G16" s="4">
        <v>-76.788600000000002</v>
      </c>
      <c r="H16" s="4">
        <v>-52.973100000000002</v>
      </c>
      <c r="I16" s="4">
        <v>-78.020300000000006</v>
      </c>
      <c r="J16" s="4">
        <v>-68.155500000000004</v>
      </c>
      <c r="K16" s="4">
        <v>-38.008000000000003</v>
      </c>
      <c r="M16" t="s">
        <v>14</v>
      </c>
      <c r="N16">
        <v>-49</v>
      </c>
      <c r="O16">
        <v>-91.407399999999996</v>
      </c>
      <c r="P16">
        <v>-74.667400000000001</v>
      </c>
      <c r="Q16">
        <v>-83.976299999999995</v>
      </c>
      <c r="R16">
        <v>-82.540700000000001</v>
      </c>
      <c r="S16">
        <v>-59.971600000000002</v>
      </c>
      <c r="T16">
        <v>-89.205200000000005</v>
      </c>
      <c r="U16">
        <v>-76.481999999999999</v>
      </c>
      <c r="V16">
        <v>-44.514899999999997</v>
      </c>
    </row>
    <row r="17" spans="1:22" x14ac:dyDescent="0.35">
      <c r="A17" s="1" t="s">
        <v>23</v>
      </c>
      <c r="B17">
        <v>-70.5</v>
      </c>
      <c r="C17" t="s">
        <v>23</v>
      </c>
      <c r="D17" s="4">
        <v>-103.9589</v>
      </c>
      <c r="E17" s="4">
        <v>-85.263400000000004</v>
      </c>
      <c r="F17" s="4">
        <v>-95.647199999999998</v>
      </c>
      <c r="G17" s="4">
        <v>-101.7362</v>
      </c>
      <c r="H17" s="4">
        <v>-68.860600000000005</v>
      </c>
      <c r="I17" s="4">
        <v>-97.441500000000005</v>
      </c>
      <c r="J17" s="4">
        <v>-86.811700000000002</v>
      </c>
      <c r="K17" s="4">
        <v>-48.927</v>
      </c>
      <c r="M17" t="s">
        <v>15</v>
      </c>
      <c r="N17">
        <v>-76.900000000000006</v>
      </c>
      <c r="O17">
        <v>-100.3233</v>
      </c>
      <c r="P17">
        <v>-79.404300000000006</v>
      </c>
      <c r="Q17">
        <v>-88.456599999999995</v>
      </c>
      <c r="R17">
        <v>-105.51560000000001</v>
      </c>
      <c r="S17">
        <v>-63.747</v>
      </c>
      <c r="T17">
        <v>-96.569400000000002</v>
      </c>
      <c r="U17">
        <v>-80.52</v>
      </c>
      <c r="V17">
        <v>-53.646000000000001</v>
      </c>
    </row>
    <row r="18" spans="1:22" x14ac:dyDescent="0.35">
      <c r="A18" s="1" t="s">
        <v>24</v>
      </c>
      <c r="B18">
        <v>-66.8</v>
      </c>
      <c r="C18" t="s">
        <v>24</v>
      </c>
      <c r="D18" s="4">
        <v>-91.661000000000001</v>
      </c>
      <c r="E18" s="4">
        <v>-71.392899999999997</v>
      </c>
      <c r="F18" s="4">
        <v>-78.9846</v>
      </c>
      <c r="G18" s="4">
        <v>-86.498500000000007</v>
      </c>
      <c r="H18" s="4">
        <v>-58.282499999999999</v>
      </c>
      <c r="I18" s="4">
        <v>-84.813000000000002</v>
      </c>
      <c r="J18" s="4">
        <v>-69.568899999999999</v>
      </c>
      <c r="K18" s="4">
        <v>-24.3809</v>
      </c>
      <c r="M18" t="s">
        <v>24</v>
      </c>
      <c r="N18">
        <v>-66.8</v>
      </c>
      <c r="O18">
        <v>-99.789199999999994</v>
      </c>
      <c r="P18">
        <v>-78.728800000000007</v>
      </c>
      <c r="Q18">
        <v>-87.858099999999993</v>
      </c>
      <c r="R18">
        <v>-97.572299999999998</v>
      </c>
      <c r="S18">
        <v>-63.177100000000003</v>
      </c>
      <c r="T18">
        <v>-96.606099999999998</v>
      </c>
      <c r="U18">
        <v>-79.284999999999997</v>
      </c>
      <c r="V18">
        <v>-36.062800000000003</v>
      </c>
    </row>
    <row r="19" spans="1:22" x14ac:dyDescent="0.35">
      <c r="A19" s="1" t="s">
        <v>25</v>
      </c>
      <c r="B19">
        <v>-70</v>
      </c>
      <c r="C19" t="s">
        <v>25</v>
      </c>
      <c r="D19" s="4">
        <v>-106.36499999999999</v>
      </c>
      <c r="E19" s="4">
        <v>-85.801299999999998</v>
      </c>
      <c r="F19" s="4">
        <v>-96.312399999999997</v>
      </c>
      <c r="G19" s="4">
        <v>-102.2453</v>
      </c>
      <c r="H19" s="4">
        <v>-68.726100000000002</v>
      </c>
      <c r="I19" s="4">
        <v>-102.32299999999999</v>
      </c>
      <c r="J19" s="4">
        <v>-84.463499999999996</v>
      </c>
      <c r="K19" s="4">
        <v>-40.2729</v>
      </c>
      <c r="M19" t="s">
        <v>25</v>
      </c>
      <c r="N19">
        <v>-70</v>
      </c>
      <c r="O19">
        <v>-110.5635</v>
      </c>
      <c r="P19">
        <v>-89.388199999999998</v>
      </c>
      <c r="Q19">
        <v>-100.53400000000001</v>
      </c>
      <c r="R19">
        <v>-107.74420000000001</v>
      </c>
      <c r="S19">
        <v>-71.169799999999995</v>
      </c>
      <c r="T19">
        <v>-107.8672</v>
      </c>
      <c r="U19">
        <v>-89.924300000000002</v>
      </c>
      <c r="V19">
        <v>-47.371200000000002</v>
      </c>
    </row>
    <row r="20" spans="1:22" x14ac:dyDescent="0.35">
      <c r="A20" s="1" t="s">
        <v>26</v>
      </c>
      <c r="B20">
        <v>-88.3</v>
      </c>
      <c r="C20" t="s">
        <v>26</v>
      </c>
      <c r="D20" s="4">
        <v>-117.7343</v>
      </c>
      <c r="E20" s="4">
        <v>-97.361999999999995</v>
      </c>
      <c r="F20" s="4">
        <v>-110.05249999999999</v>
      </c>
      <c r="G20" s="4">
        <v>-111.6426</v>
      </c>
      <c r="H20" s="4">
        <v>-78.822599999999994</v>
      </c>
      <c r="I20" s="4">
        <v>-111.855</v>
      </c>
      <c r="J20" s="4">
        <v>-94.494399999999999</v>
      </c>
      <c r="K20" s="4">
        <v>-49.978999999999999</v>
      </c>
      <c r="M20" t="s">
        <v>26</v>
      </c>
      <c r="N20">
        <v>-88.3</v>
      </c>
      <c r="O20">
        <v>-120.78</v>
      </c>
      <c r="P20">
        <v>-98.932000000000002</v>
      </c>
      <c r="Q20">
        <v>-111.49339999999999</v>
      </c>
      <c r="R20">
        <v>-117.057</v>
      </c>
      <c r="S20">
        <v>-78.766000000000005</v>
      </c>
      <c r="T20">
        <v>-115.7437</v>
      </c>
      <c r="U20">
        <v>-99.334699999999998</v>
      </c>
      <c r="V20">
        <v>-56.360599999999998</v>
      </c>
    </row>
    <row r="21" spans="1:22" x14ac:dyDescent="0.35">
      <c r="A21" s="1" t="s">
        <v>27</v>
      </c>
      <c r="B21">
        <v>-128.30000000000001</v>
      </c>
      <c r="C21" t="s">
        <v>27</v>
      </c>
      <c r="D21" s="4">
        <v>-185.7252</v>
      </c>
      <c r="E21" s="4">
        <v>-148.1489</v>
      </c>
      <c r="F21" s="4">
        <v>-166.0915</v>
      </c>
      <c r="G21" s="4">
        <v>-178.55699999999999</v>
      </c>
      <c r="H21" s="4">
        <v>-119.36239999999999</v>
      </c>
      <c r="I21" s="4">
        <v>-184.0273</v>
      </c>
      <c r="J21" s="4">
        <v>-124.50539999999999</v>
      </c>
      <c r="K21" s="4">
        <v>-42.134900000000002</v>
      </c>
      <c r="M21" t="s">
        <v>29</v>
      </c>
      <c r="N21">
        <v>-67</v>
      </c>
      <c r="O21">
        <v>-104.6579</v>
      </c>
      <c r="P21">
        <v>-83.435299999999998</v>
      </c>
      <c r="Q21">
        <v>-93.661600000000007</v>
      </c>
      <c r="R21">
        <v>-101.8058</v>
      </c>
      <c r="S21">
        <v>-66.816900000000004</v>
      </c>
      <c r="T21">
        <v>-101.9121</v>
      </c>
      <c r="U21">
        <v>-84.426699999999997</v>
      </c>
      <c r="V21">
        <v>-41.116700000000002</v>
      </c>
    </row>
    <row r="22" spans="1:22" x14ac:dyDescent="0.35">
      <c r="A22" s="1" t="s">
        <v>28</v>
      </c>
      <c r="B22">
        <v>-136.80000000000001</v>
      </c>
      <c r="C22" t="s">
        <v>28</v>
      </c>
      <c r="D22" s="4">
        <v>-185.77269999999999</v>
      </c>
      <c r="E22" s="4">
        <v>-147.73089999999999</v>
      </c>
      <c r="F22" s="4">
        <v>-165.34270000000001</v>
      </c>
      <c r="G22" s="4">
        <v>-177.51220000000001</v>
      </c>
      <c r="H22" s="4">
        <v>-119.30419999999999</v>
      </c>
      <c r="I22" s="4">
        <v>-183.87569999999999</v>
      </c>
      <c r="J22" s="4">
        <v>-127.55929999999999</v>
      </c>
      <c r="K22" s="4">
        <v>-46.476700000000001</v>
      </c>
      <c r="M22" t="s">
        <v>30</v>
      </c>
      <c r="N22">
        <v>-83.4</v>
      </c>
      <c r="O22">
        <v>-109.5732</v>
      </c>
      <c r="P22">
        <v>-88.874600000000001</v>
      </c>
      <c r="Q22">
        <v>-99.878</v>
      </c>
      <c r="R22">
        <v>-107.33759999999999</v>
      </c>
      <c r="S22">
        <v>-71.387</v>
      </c>
      <c r="T22">
        <v>-105.9337</v>
      </c>
      <c r="U22">
        <v>-90.630499999999998</v>
      </c>
      <c r="V22">
        <v>-48.863700000000001</v>
      </c>
    </row>
    <row r="23" spans="1:22" x14ac:dyDescent="0.35">
      <c r="A23" s="1" t="s">
        <v>29</v>
      </c>
      <c r="B23">
        <v>-67</v>
      </c>
      <c r="C23" t="s">
        <v>29</v>
      </c>
      <c r="D23" s="4">
        <v>-99.740499999999997</v>
      </c>
      <c r="E23" s="4">
        <v>-79.077399999999997</v>
      </c>
      <c r="F23" s="4">
        <v>-88.160899999999998</v>
      </c>
      <c r="G23" s="4">
        <v>-95.3369</v>
      </c>
      <c r="H23" s="4">
        <v>-63.9696</v>
      </c>
      <c r="I23" s="4">
        <v>-96.781499999999994</v>
      </c>
      <c r="J23" s="4">
        <v>-77.3005</v>
      </c>
      <c r="K23" s="4">
        <v>-32.097200000000001</v>
      </c>
      <c r="M23" t="s">
        <v>31</v>
      </c>
      <c r="N23">
        <v>-71.099999999999994</v>
      </c>
      <c r="O23">
        <v>-105.70189999999999</v>
      </c>
      <c r="P23">
        <v>-85.319599999999994</v>
      </c>
      <c r="Q23">
        <v>-95.7363</v>
      </c>
      <c r="R23">
        <v>-103.1746</v>
      </c>
      <c r="S23">
        <v>-68.909899999999993</v>
      </c>
      <c r="T23">
        <v>-105.18040000000001</v>
      </c>
      <c r="U23">
        <v>-85.678200000000004</v>
      </c>
      <c r="V23">
        <v>-43.889899999999997</v>
      </c>
    </row>
    <row r="24" spans="1:22" x14ac:dyDescent="0.35">
      <c r="A24" s="1" t="s">
        <v>30</v>
      </c>
      <c r="B24">
        <v>-83.4</v>
      </c>
      <c r="C24" t="s">
        <v>30</v>
      </c>
      <c r="D24" s="4">
        <v>-108.65940000000001</v>
      </c>
      <c r="E24" s="4">
        <v>-88.411199999999994</v>
      </c>
      <c r="F24" s="4">
        <v>-99.381799999999998</v>
      </c>
      <c r="G24" s="4">
        <v>-106.28579999999999</v>
      </c>
      <c r="H24" s="4">
        <v>-70.813800000000001</v>
      </c>
      <c r="I24" s="4">
        <v>-105.54049999999999</v>
      </c>
      <c r="J24" s="4">
        <v>-88.5886</v>
      </c>
      <c r="K24" s="4">
        <v>-46.754300000000001</v>
      </c>
      <c r="M24" t="s">
        <v>32</v>
      </c>
      <c r="N24">
        <v>-74.2</v>
      </c>
      <c r="O24">
        <v>-108.61620000000001</v>
      </c>
      <c r="P24">
        <v>-87.845399999999998</v>
      </c>
      <c r="Q24">
        <v>-98.638599999999997</v>
      </c>
      <c r="R24">
        <v>-105.8005</v>
      </c>
      <c r="S24">
        <v>-71.231399999999994</v>
      </c>
      <c r="T24">
        <v>-106.2822</v>
      </c>
      <c r="U24">
        <v>-89.216099999999997</v>
      </c>
      <c r="V24">
        <v>-46.7834</v>
      </c>
    </row>
    <row r="25" spans="1:22" x14ac:dyDescent="0.35">
      <c r="A25" s="1" t="s">
        <v>31</v>
      </c>
      <c r="B25">
        <v>-71.099999999999994</v>
      </c>
      <c r="C25" t="s">
        <v>31</v>
      </c>
      <c r="D25" s="4">
        <v>-101.06440000000001</v>
      </c>
      <c r="E25" s="4">
        <v>-80.548000000000002</v>
      </c>
      <c r="F25" s="4">
        <v>-89.681600000000003</v>
      </c>
      <c r="G25" s="4">
        <v>-95.5214</v>
      </c>
      <c r="H25" s="4">
        <v>-65.311700000000002</v>
      </c>
      <c r="I25" s="4">
        <v>-99.667000000000002</v>
      </c>
      <c r="J25" s="4">
        <v>-78.436300000000003</v>
      </c>
      <c r="K25" s="4">
        <v>-32.090000000000003</v>
      </c>
      <c r="M25" t="s">
        <v>61</v>
      </c>
      <c r="N25">
        <v>-74.2</v>
      </c>
      <c r="O25">
        <v>-102.095</v>
      </c>
      <c r="P25">
        <v>-83.281400000000005</v>
      </c>
      <c r="Q25">
        <v>-93.423699999999997</v>
      </c>
      <c r="R25">
        <v>-102.6786</v>
      </c>
      <c r="S25">
        <v>-67.005499999999998</v>
      </c>
      <c r="T25">
        <v>-92.743499999999997</v>
      </c>
      <c r="U25">
        <v>-84.017399999999995</v>
      </c>
      <c r="V25">
        <v>-41.218600000000002</v>
      </c>
    </row>
    <row r="26" spans="1:22" x14ac:dyDescent="0.35">
      <c r="A26" s="1" t="s">
        <v>32</v>
      </c>
      <c r="B26">
        <v>-74.2</v>
      </c>
      <c r="C26" t="s">
        <v>32</v>
      </c>
      <c r="D26" s="4">
        <v>-103.0151</v>
      </c>
      <c r="E26" s="4">
        <v>-82.579499999999996</v>
      </c>
      <c r="F26" s="4">
        <v>-92.235799999999998</v>
      </c>
      <c r="G26" s="4">
        <v>-97.304900000000004</v>
      </c>
      <c r="H26" s="4">
        <v>-67.708500000000001</v>
      </c>
      <c r="I26" s="4">
        <v>-99.010499999999993</v>
      </c>
      <c r="J26" s="4">
        <v>-81.691100000000006</v>
      </c>
      <c r="K26" s="4">
        <v>-36.543500000000002</v>
      </c>
      <c r="M26" t="s">
        <v>62</v>
      </c>
      <c r="N26">
        <v>-76.2</v>
      </c>
      <c r="O26">
        <v>-101.4391</v>
      </c>
      <c r="P26">
        <v>-82.674999999999997</v>
      </c>
      <c r="Q26">
        <v>-92.777600000000007</v>
      </c>
      <c r="R26">
        <v>-102.4097</v>
      </c>
      <c r="S26">
        <v>-66.323300000000003</v>
      </c>
      <c r="T26">
        <v>-92.004199999999997</v>
      </c>
      <c r="U26">
        <v>-83.039900000000003</v>
      </c>
      <c r="V26">
        <v>-40.471600000000002</v>
      </c>
    </row>
    <row r="27" spans="1:22" x14ac:dyDescent="0.35">
      <c r="A27" s="1" t="s">
        <v>33</v>
      </c>
      <c r="B27">
        <v>-77.400000000000006</v>
      </c>
      <c r="C27" t="s">
        <v>33</v>
      </c>
      <c r="D27" s="4">
        <v>-99.188800000000001</v>
      </c>
      <c r="E27" s="4">
        <v>-79.343800000000002</v>
      </c>
      <c r="F27" s="4">
        <v>-88.641800000000003</v>
      </c>
      <c r="G27" s="4">
        <v>-95.099100000000007</v>
      </c>
      <c r="H27" s="4">
        <v>-64.236599999999996</v>
      </c>
      <c r="I27" s="4">
        <v>-96.201899999999995</v>
      </c>
      <c r="J27" s="4">
        <v>-75.693399999999997</v>
      </c>
      <c r="K27" s="4">
        <v>-31.605699999999999</v>
      </c>
      <c r="M27" t="s">
        <v>63</v>
      </c>
      <c r="N27">
        <v>-77.2</v>
      </c>
      <c r="O27">
        <v>-101.1006</v>
      </c>
      <c r="P27">
        <v>-82.340999999999994</v>
      </c>
      <c r="Q27">
        <v>-92.332099999999997</v>
      </c>
      <c r="R27">
        <v>-103.6917</v>
      </c>
      <c r="S27">
        <v>-65.950199999999995</v>
      </c>
      <c r="T27">
        <v>-92.249499999999998</v>
      </c>
      <c r="U27">
        <v>-82.361699999999999</v>
      </c>
      <c r="V27">
        <v>-41.915700000000001</v>
      </c>
    </row>
    <row r="28" spans="1:22" x14ac:dyDescent="0.35">
      <c r="A28" s="1" t="s">
        <v>34</v>
      </c>
      <c r="B28">
        <v>-72.8</v>
      </c>
      <c r="C28" t="s">
        <v>34</v>
      </c>
      <c r="D28" s="4">
        <v>-100.6046</v>
      </c>
      <c r="E28" s="4">
        <v>-80.622100000000003</v>
      </c>
      <c r="F28" s="4">
        <v>-89.890100000000004</v>
      </c>
      <c r="G28" s="4">
        <v>-97.8797</v>
      </c>
      <c r="H28" s="4">
        <v>-65.801900000000003</v>
      </c>
      <c r="I28" s="4">
        <v>-87.232299999999995</v>
      </c>
      <c r="J28" s="4">
        <v>-77.624200000000002</v>
      </c>
      <c r="K28" s="4">
        <v>-32.817700000000002</v>
      </c>
      <c r="M28" t="s">
        <v>64</v>
      </c>
      <c r="N28">
        <v>-75.5</v>
      </c>
      <c r="O28">
        <v>-102.6867</v>
      </c>
      <c r="P28">
        <v>-83.997699999999995</v>
      </c>
      <c r="Q28">
        <v>-94.0625</v>
      </c>
      <c r="R28">
        <v>-102.2633</v>
      </c>
      <c r="S28">
        <v>-67.847399999999993</v>
      </c>
      <c r="T28">
        <v>-95.025199999999998</v>
      </c>
      <c r="U28">
        <v>-84.606899999999996</v>
      </c>
      <c r="V28">
        <v>-41.647399999999998</v>
      </c>
    </row>
    <row r="29" spans="1:22" x14ac:dyDescent="0.35">
      <c r="A29" s="1" t="s">
        <v>35</v>
      </c>
      <c r="B29">
        <v>-72.3</v>
      </c>
      <c r="C29" t="s">
        <v>35</v>
      </c>
      <c r="D29" s="4">
        <v>-103.2088</v>
      </c>
      <c r="E29" s="4">
        <v>-83.096800000000002</v>
      </c>
      <c r="F29" s="4">
        <v>-93.129599999999996</v>
      </c>
      <c r="G29" s="4">
        <v>-100.2719</v>
      </c>
      <c r="H29" s="4">
        <v>-67.6113</v>
      </c>
      <c r="I29" s="4">
        <v>-94.344800000000006</v>
      </c>
      <c r="J29" s="4">
        <v>-81.303299999999993</v>
      </c>
      <c r="K29" s="4">
        <v>-37.405900000000003</v>
      </c>
      <c r="M29" t="s">
        <v>65</v>
      </c>
      <c r="N29">
        <v>-79.3</v>
      </c>
      <c r="O29">
        <v>-107.76730000000001</v>
      </c>
      <c r="P29">
        <v>-87.519000000000005</v>
      </c>
      <c r="Q29">
        <v>-98.974800000000002</v>
      </c>
      <c r="R29">
        <v>-87.291200000000003</v>
      </c>
      <c r="S29">
        <v>-70.790400000000005</v>
      </c>
      <c r="T29">
        <v>-103.34220000000001</v>
      </c>
      <c r="U29">
        <v>-87.328800000000001</v>
      </c>
      <c r="V29">
        <v>-41.6235</v>
      </c>
    </row>
    <row r="30" spans="1:22" x14ac:dyDescent="0.35">
      <c r="A30" s="1" t="s">
        <v>36</v>
      </c>
      <c r="B30">
        <v>-73.7</v>
      </c>
      <c r="C30" t="s">
        <v>36</v>
      </c>
      <c r="D30" s="4">
        <v>-100.3827</v>
      </c>
      <c r="E30" s="4">
        <v>-80.5077</v>
      </c>
      <c r="F30" s="4">
        <v>-89.993600000000001</v>
      </c>
      <c r="G30" s="4">
        <v>-97.361099999999993</v>
      </c>
      <c r="H30" s="4">
        <v>-66.432199999999995</v>
      </c>
      <c r="I30" s="4">
        <v>-94.662300000000002</v>
      </c>
      <c r="J30" s="4">
        <v>-77.680199999999999</v>
      </c>
      <c r="K30" s="4">
        <v>-33.307499999999997</v>
      </c>
      <c r="M30" t="s">
        <v>66</v>
      </c>
      <c r="N30">
        <v>-76.8</v>
      </c>
      <c r="O30">
        <v>-107.5835</v>
      </c>
      <c r="P30">
        <v>-87.0715</v>
      </c>
      <c r="Q30">
        <v>-98.295599999999993</v>
      </c>
      <c r="R30">
        <v>-86.835300000000004</v>
      </c>
      <c r="S30">
        <v>-69.908199999999994</v>
      </c>
      <c r="T30">
        <v>-98.320800000000006</v>
      </c>
      <c r="U30">
        <v>-86.780199999999994</v>
      </c>
      <c r="V30">
        <v>-40.657400000000003</v>
      </c>
    </row>
    <row r="31" spans="1:22" x14ac:dyDescent="0.35">
      <c r="A31" s="1" t="s">
        <v>37</v>
      </c>
      <c r="B31">
        <v>-58.1</v>
      </c>
      <c r="C31" t="s">
        <v>37</v>
      </c>
      <c r="D31" s="4">
        <v>-85.698599999999999</v>
      </c>
      <c r="E31" s="4">
        <v>-68.619600000000005</v>
      </c>
      <c r="F31" s="4">
        <v>-76.451099999999997</v>
      </c>
      <c r="G31" s="4">
        <v>-78.923599999999993</v>
      </c>
      <c r="H31" s="4">
        <v>-54.8842</v>
      </c>
      <c r="I31" s="4">
        <v>-77.672300000000007</v>
      </c>
      <c r="J31" s="4">
        <v>-69.012100000000004</v>
      </c>
      <c r="K31" s="4">
        <v>-32.745699999999999</v>
      </c>
      <c r="M31" t="s">
        <v>67</v>
      </c>
      <c r="N31">
        <v>-73.900000000000006</v>
      </c>
      <c r="O31">
        <v>-107.0067</v>
      </c>
      <c r="P31">
        <v>-86.496799999999993</v>
      </c>
      <c r="Q31">
        <v>-97.624300000000005</v>
      </c>
      <c r="R31">
        <v>-86.997500000000002</v>
      </c>
      <c r="S31">
        <v>-69.426599999999993</v>
      </c>
      <c r="T31">
        <v>-103.4448</v>
      </c>
      <c r="U31">
        <v>-86.146299999999997</v>
      </c>
      <c r="V31">
        <v>-40.923900000000003</v>
      </c>
    </row>
    <row r="32" spans="1:22" x14ac:dyDescent="0.35">
      <c r="A32" s="1" t="s">
        <v>38</v>
      </c>
      <c r="B32">
        <v>-57.4</v>
      </c>
      <c r="C32" t="s">
        <v>38</v>
      </c>
      <c r="D32" s="4">
        <v>-84.665700000000001</v>
      </c>
      <c r="E32" s="4">
        <v>-68.086699999999993</v>
      </c>
      <c r="F32" s="4">
        <v>-76.166600000000003</v>
      </c>
      <c r="G32" s="4">
        <v>-79.641599999999997</v>
      </c>
      <c r="H32" s="4">
        <v>-54.926000000000002</v>
      </c>
      <c r="I32" s="4">
        <v>-73.953900000000004</v>
      </c>
      <c r="J32" s="4">
        <v>-69.059100000000001</v>
      </c>
      <c r="K32" s="4">
        <v>-33.935600000000001</v>
      </c>
      <c r="M32" t="s">
        <v>68</v>
      </c>
      <c r="N32">
        <v>-74</v>
      </c>
      <c r="O32">
        <v>-107.6413</v>
      </c>
      <c r="P32">
        <v>-87.1768</v>
      </c>
      <c r="Q32">
        <v>-98.126400000000004</v>
      </c>
      <c r="R32">
        <v>-87.023799999999994</v>
      </c>
      <c r="S32">
        <v>-70.514099999999999</v>
      </c>
      <c r="T32">
        <v>-99.724999999999994</v>
      </c>
      <c r="U32">
        <v>-87.208500000000001</v>
      </c>
      <c r="V32">
        <v>-40.616399999999999</v>
      </c>
    </row>
    <row r="33" spans="1:22" x14ac:dyDescent="0.35">
      <c r="A33" s="1" t="s">
        <v>39</v>
      </c>
      <c r="B33">
        <v>-63</v>
      </c>
      <c r="C33" t="s">
        <v>39</v>
      </c>
      <c r="D33" s="4">
        <v>-84.271699999999996</v>
      </c>
      <c r="E33" s="4">
        <v>-67.730199999999996</v>
      </c>
      <c r="F33" s="4">
        <v>-75.656499999999994</v>
      </c>
      <c r="G33" s="4">
        <v>-78.040199999999999</v>
      </c>
      <c r="H33" s="4">
        <v>-54.117100000000001</v>
      </c>
      <c r="I33" s="4">
        <v>-73.374499999999998</v>
      </c>
      <c r="J33" s="4">
        <v>-67.971400000000003</v>
      </c>
      <c r="K33" s="4">
        <v>-32.254100000000001</v>
      </c>
      <c r="M33" t="s">
        <v>69</v>
      </c>
      <c r="N33">
        <v>-76.599999999999994</v>
      </c>
      <c r="O33">
        <v>-107.4546</v>
      </c>
      <c r="P33">
        <v>-87.033500000000004</v>
      </c>
      <c r="Q33">
        <v>-97.853200000000001</v>
      </c>
      <c r="R33">
        <v>-87.54</v>
      </c>
      <c r="S33">
        <v>-70.347200000000001</v>
      </c>
      <c r="T33">
        <v>-96.453900000000004</v>
      </c>
      <c r="U33">
        <v>-87.009299999999996</v>
      </c>
      <c r="V33">
        <v>-48.066299999999998</v>
      </c>
    </row>
    <row r="34" spans="1:22" x14ac:dyDescent="0.35">
      <c r="A34" s="1" t="s">
        <v>40</v>
      </c>
      <c r="B34">
        <v>-59.1</v>
      </c>
      <c r="C34" t="s">
        <v>40</v>
      </c>
      <c r="D34" s="4">
        <v>-84.962999999999994</v>
      </c>
      <c r="E34" s="4">
        <v>-68.162199999999999</v>
      </c>
      <c r="F34" s="4">
        <v>-76.120999999999995</v>
      </c>
      <c r="G34" s="4">
        <v>-78.509900000000002</v>
      </c>
      <c r="H34" s="4">
        <v>-54.741399999999999</v>
      </c>
      <c r="I34" s="4">
        <v>-76.937399999999997</v>
      </c>
      <c r="J34" s="4">
        <v>-68.600899999999996</v>
      </c>
      <c r="K34" s="4">
        <v>-32.088700000000003</v>
      </c>
      <c r="M34" t="s">
        <v>70</v>
      </c>
      <c r="N34">
        <v>-82.9</v>
      </c>
      <c r="O34">
        <v>-116.2146</v>
      </c>
      <c r="P34">
        <v>-94.783000000000001</v>
      </c>
      <c r="Q34">
        <v>-106.72920000000001</v>
      </c>
      <c r="R34">
        <v>-108.2837</v>
      </c>
      <c r="S34">
        <v>-77.054100000000005</v>
      </c>
      <c r="T34">
        <v>-109.7597</v>
      </c>
      <c r="U34">
        <v>-95.331900000000005</v>
      </c>
      <c r="V34">
        <v>-49.030500000000004</v>
      </c>
    </row>
    <row r="35" spans="1:22" x14ac:dyDescent="0.35">
      <c r="A35" s="1" t="s">
        <v>41</v>
      </c>
      <c r="B35">
        <v>-58.9</v>
      </c>
      <c r="C35" t="s">
        <v>41</v>
      </c>
      <c r="D35" s="4">
        <v>-85.129900000000006</v>
      </c>
      <c r="E35" s="4">
        <v>-67.995199999999997</v>
      </c>
      <c r="F35" s="4">
        <v>-75.950199999999995</v>
      </c>
      <c r="G35" s="4">
        <v>-78.488900000000001</v>
      </c>
      <c r="H35" s="4">
        <v>-53.7986</v>
      </c>
      <c r="I35" s="4">
        <v>-75.8429</v>
      </c>
      <c r="J35" s="4">
        <v>-68.358699999999999</v>
      </c>
      <c r="K35" s="4">
        <v>-31.683800000000002</v>
      </c>
      <c r="M35" t="s">
        <v>71</v>
      </c>
      <c r="N35">
        <v>-81</v>
      </c>
      <c r="O35">
        <v>-116.9229</v>
      </c>
      <c r="P35">
        <v>-95.243600000000001</v>
      </c>
      <c r="Q35">
        <v>-107.0581</v>
      </c>
      <c r="R35">
        <v>-107.7704</v>
      </c>
      <c r="S35">
        <v>-76.876400000000004</v>
      </c>
      <c r="T35">
        <v>-107.9046</v>
      </c>
      <c r="U35">
        <v>-95.677300000000002</v>
      </c>
      <c r="V35">
        <v>-48.1691</v>
      </c>
    </row>
    <row r="36" spans="1:22" x14ac:dyDescent="0.35">
      <c r="A36" s="1" t="s">
        <v>42</v>
      </c>
      <c r="B36">
        <v>-72.3</v>
      </c>
      <c r="C36" t="s">
        <v>42</v>
      </c>
      <c r="D36" s="4">
        <v>-109.9025</v>
      </c>
      <c r="E36" s="4">
        <v>-89.142200000000003</v>
      </c>
      <c r="F36" s="4">
        <v>-99.772300000000001</v>
      </c>
      <c r="G36" s="4">
        <v>-104.3464</v>
      </c>
      <c r="H36" s="4">
        <v>-71.658900000000003</v>
      </c>
      <c r="I36" s="4">
        <v>-101.67010000000001</v>
      </c>
      <c r="J36" s="4">
        <v>-86.324799999999996</v>
      </c>
      <c r="K36" s="4">
        <v>-43.020699999999998</v>
      </c>
      <c r="M36" t="s">
        <v>72</v>
      </c>
      <c r="N36">
        <v>-81.099999999999994</v>
      </c>
      <c r="O36">
        <v>-114.72450000000001</v>
      </c>
      <c r="P36">
        <v>-93.061599999999999</v>
      </c>
      <c r="Q36">
        <v>-104.85639999999999</v>
      </c>
      <c r="R36">
        <v>-107.41930000000001</v>
      </c>
      <c r="S36">
        <v>-74.691299999999998</v>
      </c>
      <c r="T36">
        <v>-109.2667</v>
      </c>
      <c r="U36">
        <v>-92.725999999999999</v>
      </c>
      <c r="V36">
        <v>-46.502899999999997</v>
      </c>
    </row>
    <row r="37" spans="1:22" x14ac:dyDescent="0.35">
      <c r="A37" s="1" t="s">
        <v>43</v>
      </c>
      <c r="B37">
        <v>-74</v>
      </c>
      <c r="C37" t="s">
        <v>43</v>
      </c>
      <c r="D37" s="4">
        <v>-109.39660000000001</v>
      </c>
      <c r="E37" s="4">
        <v>-88.784199999999998</v>
      </c>
      <c r="F37" s="4">
        <v>-99.358900000000006</v>
      </c>
      <c r="G37" s="4">
        <v>-104.21510000000001</v>
      </c>
      <c r="H37" s="4">
        <v>-71.430400000000006</v>
      </c>
      <c r="I37" s="4">
        <v>-99.019000000000005</v>
      </c>
      <c r="J37" s="4">
        <v>-86.996899999999997</v>
      </c>
      <c r="K37" s="4">
        <v>-44.5214</v>
      </c>
      <c r="M37" t="s">
        <v>73</v>
      </c>
      <c r="N37">
        <v>-78.2</v>
      </c>
      <c r="O37">
        <v>-115.99550000000001</v>
      </c>
      <c r="P37">
        <v>-94.459900000000005</v>
      </c>
      <c r="Q37">
        <v>-106.53660000000001</v>
      </c>
      <c r="R37">
        <v>-105.1927</v>
      </c>
      <c r="S37">
        <v>-76.028000000000006</v>
      </c>
      <c r="T37">
        <v>-110.94</v>
      </c>
      <c r="U37">
        <v>-94.728200000000001</v>
      </c>
      <c r="V37">
        <v>-46.579700000000003</v>
      </c>
    </row>
    <row r="38" spans="1:22" x14ac:dyDescent="0.35">
      <c r="A38" s="1" t="s">
        <v>44</v>
      </c>
      <c r="B38">
        <v>-75.2</v>
      </c>
      <c r="C38" t="s">
        <v>44</v>
      </c>
      <c r="D38" s="4">
        <v>-108.25230000000001</v>
      </c>
      <c r="E38" s="4">
        <v>-87.683300000000003</v>
      </c>
      <c r="F38" s="4">
        <v>-98.195599999999999</v>
      </c>
      <c r="G38" s="4">
        <v>-102.56959999999999</v>
      </c>
      <c r="H38" s="4">
        <v>-70.637699999999995</v>
      </c>
      <c r="I38" s="4">
        <v>-98.118200000000002</v>
      </c>
      <c r="J38" s="4">
        <v>-85.907200000000003</v>
      </c>
      <c r="K38" s="4">
        <v>-43.597999999999999</v>
      </c>
      <c r="M38" t="s">
        <v>74</v>
      </c>
      <c r="N38">
        <v>-78.7</v>
      </c>
      <c r="O38">
        <v>-115.67149999999999</v>
      </c>
      <c r="P38">
        <v>-93.990899999999996</v>
      </c>
      <c r="Q38">
        <v>-105.8113</v>
      </c>
      <c r="R38">
        <v>-105.8313</v>
      </c>
      <c r="S38">
        <v>-75.3904</v>
      </c>
      <c r="T38">
        <v>-103.84439999999999</v>
      </c>
      <c r="U38">
        <v>-94.418800000000005</v>
      </c>
      <c r="V38">
        <v>-46.327100000000002</v>
      </c>
    </row>
    <row r="39" spans="1:22" x14ac:dyDescent="0.35">
      <c r="A39" s="1" t="s">
        <v>45</v>
      </c>
      <c r="B39">
        <v>-76.900000000000006</v>
      </c>
      <c r="C39" t="s">
        <v>45</v>
      </c>
      <c r="D39" s="4">
        <v>-107.7891</v>
      </c>
      <c r="E39" s="4">
        <v>-87.322100000000006</v>
      </c>
      <c r="F39" s="4">
        <v>-98.023099999999999</v>
      </c>
      <c r="G39" s="4">
        <v>-103.0389</v>
      </c>
      <c r="H39" s="4">
        <v>-70.424800000000005</v>
      </c>
      <c r="I39" s="4">
        <v>-94.351500000000001</v>
      </c>
      <c r="J39" s="4">
        <v>-84.935100000000006</v>
      </c>
      <c r="K39" s="4">
        <v>-42.478999999999999</v>
      </c>
      <c r="M39" t="s">
        <v>75</v>
      </c>
      <c r="N39">
        <v>-74.5</v>
      </c>
      <c r="O39">
        <v>-105.6677</v>
      </c>
      <c r="P39">
        <v>-87.104900000000001</v>
      </c>
      <c r="Q39">
        <v>-97.7834</v>
      </c>
      <c r="R39">
        <v>-106.0248</v>
      </c>
      <c r="S39">
        <v>-69.650999999999996</v>
      </c>
      <c r="T39">
        <v>-95.972899999999996</v>
      </c>
      <c r="U39">
        <v>-86.124799999999993</v>
      </c>
      <c r="V39">
        <v>-45.776499999999999</v>
      </c>
    </row>
    <row r="40" spans="1:22" x14ac:dyDescent="0.35">
      <c r="A40" s="1" t="s">
        <v>46</v>
      </c>
      <c r="B40">
        <v>-69.400000000000006</v>
      </c>
      <c r="C40" t="s">
        <v>46</v>
      </c>
      <c r="D40" s="4">
        <v>-107.5663</v>
      </c>
      <c r="E40" s="4">
        <v>-87.046300000000002</v>
      </c>
      <c r="F40" s="4">
        <v>-97.725200000000001</v>
      </c>
      <c r="G40" s="4">
        <v>-101.4256</v>
      </c>
      <c r="H40" s="4">
        <v>-69.98</v>
      </c>
      <c r="I40" s="4">
        <v>-97.55</v>
      </c>
      <c r="J40" s="4">
        <v>-84.415400000000005</v>
      </c>
      <c r="K40" s="4">
        <v>-41.8827</v>
      </c>
      <c r="M40" t="s">
        <v>76</v>
      </c>
      <c r="N40">
        <v>-74.099999999999994</v>
      </c>
      <c r="O40">
        <v>-105.1671</v>
      </c>
      <c r="P40">
        <v>-86.735799999999998</v>
      </c>
      <c r="Q40">
        <v>-97.596000000000004</v>
      </c>
      <c r="R40">
        <v>-106.14449999999999</v>
      </c>
      <c r="S40">
        <v>-69.855999999999995</v>
      </c>
      <c r="T40">
        <v>-93.418199999999999</v>
      </c>
      <c r="U40">
        <v>-85.833299999999994</v>
      </c>
      <c r="V40">
        <v>-36.893099999999997</v>
      </c>
    </row>
    <row r="41" spans="1:22" x14ac:dyDescent="0.35">
      <c r="A41" s="1" t="s">
        <v>47</v>
      </c>
      <c r="B41">
        <v>-72.400000000000006</v>
      </c>
      <c r="C41" t="s">
        <v>47</v>
      </c>
      <c r="D41" s="4">
        <v>-108.9713</v>
      </c>
      <c r="E41" s="4">
        <v>-88.442899999999995</v>
      </c>
      <c r="F41" s="4">
        <v>-99.282600000000002</v>
      </c>
      <c r="G41" s="4">
        <v>-103.6709</v>
      </c>
      <c r="H41" s="4">
        <v>-71.367699999999999</v>
      </c>
      <c r="I41" s="4">
        <v>-102.05929999999999</v>
      </c>
      <c r="J41" s="4">
        <v>-84.866799999999998</v>
      </c>
      <c r="K41" s="4">
        <v>-41.118899999999996</v>
      </c>
      <c r="M41" t="s">
        <v>77</v>
      </c>
      <c r="N41">
        <v>-74.7</v>
      </c>
      <c r="O41">
        <v>-105.8591</v>
      </c>
      <c r="P41">
        <v>-87.236500000000007</v>
      </c>
      <c r="Q41">
        <v>-98.391900000000007</v>
      </c>
      <c r="R41">
        <v>-90.655000000000001</v>
      </c>
      <c r="S41">
        <v>-69.8249</v>
      </c>
      <c r="T41">
        <v>-98.706800000000001</v>
      </c>
      <c r="U41">
        <v>-86.108199999999997</v>
      </c>
      <c r="V41">
        <v>-35.653700000000001</v>
      </c>
    </row>
    <row r="42" spans="1:22" x14ac:dyDescent="0.35">
      <c r="A42" s="1" t="s">
        <v>48</v>
      </c>
      <c r="B42">
        <v>-71.8</v>
      </c>
      <c r="C42" t="s">
        <v>48</v>
      </c>
      <c r="D42" s="4">
        <v>-107.4375</v>
      </c>
      <c r="E42" s="4">
        <v>-86.729600000000005</v>
      </c>
      <c r="F42" s="4">
        <v>-97.125799999999998</v>
      </c>
      <c r="G42" s="4">
        <v>-103.2099</v>
      </c>
      <c r="H42" s="4">
        <v>-70.694999999999993</v>
      </c>
      <c r="I42" s="4">
        <v>-93.688699999999997</v>
      </c>
      <c r="J42" s="4">
        <v>-83.704099999999997</v>
      </c>
      <c r="K42" s="4">
        <v>-39.171500000000002</v>
      </c>
      <c r="M42" t="s">
        <v>78</v>
      </c>
      <c r="N42">
        <v>-75</v>
      </c>
      <c r="O42">
        <v>-106.08929999999999</v>
      </c>
      <c r="P42">
        <v>-87.419200000000004</v>
      </c>
      <c r="Q42">
        <v>-98.255200000000002</v>
      </c>
      <c r="R42">
        <v>-88.962500000000006</v>
      </c>
      <c r="S42">
        <v>-69.772499999999994</v>
      </c>
      <c r="T42">
        <v>-94.171400000000006</v>
      </c>
      <c r="U42">
        <v>-86.687399999999997</v>
      </c>
      <c r="V42">
        <v>-35.728299999999997</v>
      </c>
    </row>
    <row r="43" spans="1:22" x14ac:dyDescent="0.35">
      <c r="A43" s="1" t="s">
        <v>49</v>
      </c>
      <c r="B43">
        <v>-61.8</v>
      </c>
      <c r="C43" t="s">
        <v>49</v>
      </c>
      <c r="D43" s="4">
        <v>-85.347399999999993</v>
      </c>
      <c r="E43" s="4">
        <v>-66.0732</v>
      </c>
      <c r="F43" s="4">
        <v>-73.2376</v>
      </c>
      <c r="G43" s="4">
        <v>-83.082700000000003</v>
      </c>
      <c r="H43" s="4">
        <v>-53.248600000000003</v>
      </c>
      <c r="I43" s="4">
        <v>-75.8202</v>
      </c>
      <c r="J43" s="4">
        <v>-69.186400000000006</v>
      </c>
      <c r="K43" s="4">
        <v>-29.9575</v>
      </c>
      <c r="M43" t="s">
        <v>79</v>
      </c>
      <c r="N43">
        <v>-77.2</v>
      </c>
      <c r="O43">
        <v>-110.4804</v>
      </c>
      <c r="P43">
        <v>-89.0274</v>
      </c>
      <c r="Q43">
        <v>-99.973299999999995</v>
      </c>
      <c r="R43">
        <v>-88.900099999999995</v>
      </c>
      <c r="S43">
        <v>-70.695099999999996</v>
      </c>
      <c r="T43">
        <v>-103.72629999999999</v>
      </c>
      <c r="U43">
        <v>-87.94</v>
      </c>
      <c r="V43">
        <v>-37.668199999999999</v>
      </c>
    </row>
    <row r="44" spans="1:22" x14ac:dyDescent="0.35">
      <c r="A44" s="1" t="s">
        <v>50</v>
      </c>
      <c r="B44">
        <v>-67.2</v>
      </c>
      <c r="C44" t="s">
        <v>50</v>
      </c>
      <c r="D44" s="4">
        <v>-84.356800000000007</v>
      </c>
      <c r="E44" s="4">
        <v>-65.38</v>
      </c>
      <c r="F44" s="4">
        <v>-72.553200000000004</v>
      </c>
      <c r="G44" s="4">
        <v>-81.727099999999993</v>
      </c>
      <c r="H44" s="4">
        <v>-52.466099999999997</v>
      </c>
      <c r="I44" s="4">
        <v>-77.1434</v>
      </c>
      <c r="J44" s="4">
        <v>-68.095600000000005</v>
      </c>
      <c r="K44" s="4">
        <v>-28.7408</v>
      </c>
      <c r="M44" t="s">
        <v>80</v>
      </c>
      <c r="N44">
        <v>-75.8</v>
      </c>
      <c r="O44">
        <v>-110.1206</v>
      </c>
      <c r="P44">
        <v>-88.720500000000001</v>
      </c>
      <c r="Q44">
        <v>-99.607299999999995</v>
      </c>
      <c r="R44">
        <v>-90.570300000000003</v>
      </c>
      <c r="S44">
        <v>-70.495000000000005</v>
      </c>
      <c r="T44">
        <v>-97.340199999999996</v>
      </c>
      <c r="U44">
        <v>-88.010199999999998</v>
      </c>
      <c r="V44">
        <v>-42.401600000000002</v>
      </c>
    </row>
    <row r="45" spans="1:22" x14ac:dyDescent="0.35">
      <c r="A45" s="1" t="s">
        <v>51</v>
      </c>
      <c r="B45">
        <v>-65.400000000000006</v>
      </c>
      <c r="C45" t="s">
        <v>51</v>
      </c>
      <c r="D45" s="4">
        <v>-84.689599999999999</v>
      </c>
      <c r="E45" s="4">
        <v>-65.457400000000007</v>
      </c>
      <c r="F45" s="4">
        <v>-72.372100000000003</v>
      </c>
      <c r="G45" s="4">
        <v>-81.832899999999995</v>
      </c>
      <c r="H45" s="4">
        <v>-52.892200000000003</v>
      </c>
      <c r="I45" s="4">
        <v>-74.368300000000005</v>
      </c>
      <c r="J45" s="4">
        <v>-67.412099999999995</v>
      </c>
      <c r="K45" s="4">
        <v>-26.5212</v>
      </c>
      <c r="M45" t="s">
        <v>81</v>
      </c>
      <c r="N45">
        <v>-78.599999999999994</v>
      </c>
      <c r="O45">
        <v>-110.2347</v>
      </c>
      <c r="P45">
        <v>-88.871499999999997</v>
      </c>
      <c r="Q45">
        <v>-99.947299999999998</v>
      </c>
      <c r="R45">
        <v>-89.272400000000005</v>
      </c>
      <c r="S45">
        <v>-70.373500000000007</v>
      </c>
      <c r="T45">
        <v>-102.5282</v>
      </c>
      <c r="U45">
        <v>-87.305099999999996</v>
      </c>
      <c r="V45">
        <v>-43.2014</v>
      </c>
    </row>
    <row r="46" spans="1:22" x14ac:dyDescent="0.35">
      <c r="A46" s="1" t="s">
        <v>52</v>
      </c>
      <c r="B46">
        <v>-66.400000000000006</v>
      </c>
      <c r="C46" t="s">
        <v>52</v>
      </c>
      <c r="D46" s="4">
        <v>-86.908100000000005</v>
      </c>
      <c r="E46" s="4">
        <v>-67.998199999999997</v>
      </c>
      <c r="F46" s="4">
        <v>-75.697599999999994</v>
      </c>
      <c r="G46" s="4">
        <v>-84.569400000000002</v>
      </c>
      <c r="H46" s="4">
        <v>-54.711300000000001</v>
      </c>
      <c r="I46" s="4">
        <v>-83.233199999999997</v>
      </c>
      <c r="J46" s="4">
        <v>-70.385199999999998</v>
      </c>
      <c r="K46" s="4">
        <v>-31.371700000000001</v>
      </c>
      <c r="M46" t="s">
        <v>82</v>
      </c>
      <c r="N46">
        <v>-77.3</v>
      </c>
      <c r="O46">
        <v>-110.3934</v>
      </c>
      <c r="P46">
        <v>-88.982500000000002</v>
      </c>
      <c r="Q46">
        <v>-99.983599999999996</v>
      </c>
      <c r="R46">
        <v>-89.240099999999998</v>
      </c>
      <c r="S46">
        <v>-70.420199999999994</v>
      </c>
      <c r="T46">
        <v>-98.605099999999993</v>
      </c>
      <c r="U46">
        <v>-87.858699999999999</v>
      </c>
      <c r="V46">
        <v>-44.097700000000003</v>
      </c>
    </row>
    <row r="47" spans="1:22" x14ac:dyDescent="0.35">
      <c r="A47" s="1" t="s">
        <v>53</v>
      </c>
      <c r="B47">
        <v>-48.1</v>
      </c>
      <c r="C47" t="s">
        <v>53</v>
      </c>
      <c r="D47" s="4">
        <v>-89.696299999999994</v>
      </c>
      <c r="E47" s="4">
        <v>-74.122600000000006</v>
      </c>
      <c r="F47" s="4">
        <v>-83.278300000000002</v>
      </c>
      <c r="G47" s="4">
        <v>-86.415300000000002</v>
      </c>
      <c r="H47" s="4">
        <v>-61.055199999999999</v>
      </c>
      <c r="I47" s="4">
        <v>-82.620500000000007</v>
      </c>
      <c r="J47" s="4">
        <v>-72.652500000000003</v>
      </c>
      <c r="K47" s="4">
        <v>-37.363999999999997</v>
      </c>
      <c r="M47" t="s">
        <v>83</v>
      </c>
      <c r="N47">
        <v>-79.400000000000006</v>
      </c>
      <c r="O47">
        <v>-109.75069999999999</v>
      </c>
      <c r="P47">
        <v>-88.468400000000003</v>
      </c>
      <c r="Q47">
        <v>-99.310599999999994</v>
      </c>
      <c r="R47">
        <v>-90.793800000000005</v>
      </c>
      <c r="S47">
        <v>-70.373699999999999</v>
      </c>
      <c r="T47">
        <v>-99.427899999999994</v>
      </c>
      <c r="U47">
        <v>-87.538899999999998</v>
      </c>
      <c r="V47">
        <v>-36.253700000000002</v>
      </c>
    </row>
    <row r="48" spans="1:22" x14ac:dyDescent="0.35">
      <c r="A48" s="1" t="s">
        <v>54</v>
      </c>
      <c r="B48">
        <v>-53.7</v>
      </c>
      <c r="C48" t="s">
        <v>54</v>
      </c>
      <c r="D48" s="4">
        <v>-89.114999999999995</v>
      </c>
      <c r="E48" s="4">
        <v>-73.408799999999999</v>
      </c>
      <c r="F48" s="4">
        <v>-82.564599999999999</v>
      </c>
      <c r="G48" s="4">
        <v>-86.442999999999998</v>
      </c>
      <c r="H48" s="4">
        <v>-60.241599999999998</v>
      </c>
      <c r="I48" s="4">
        <v>-76.789500000000004</v>
      </c>
      <c r="J48" s="4">
        <v>-72.837800000000001</v>
      </c>
      <c r="K48" s="4">
        <v>-37.333599999999997</v>
      </c>
      <c r="M48" t="s">
        <v>84</v>
      </c>
      <c r="N48">
        <v>-52.3</v>
      </c>
      <c r="O48">
        <v>-83.092299999999994</v>
      </c>
      <c r="P48">
        <v>-68.649000000000001</v>
      </c>
      <c r="Q48">
        <v>-77.519300000000001</v>
      </c>
      <c r="R48">
        <v>-96.180700000000002</v>
      </c>
      <c r="S48">
        <v>-53.648800000000001</v>
      </c>
      <c r="T48">
        <v>-77.115399999999994</v>
      </c>
      <c r="U48">
        <v>-67.363900000000001</v>
      </c>
      <c r="V48">
        <v>-37.1509</v>
      </c>
    </row>
    <row r="49" spans="1:22" x14ac:dyDescent="0.35">
      <c r="A49" s="1" t="s">
        <v>55</v>
      </c>
      <c r="B49">
        <v>-53.5</v>
      </c>
      <c r="C49" t="s">
        <v>55</v>
      </c>
      <c r="D49" s="4">
        <v>-89.69</v>
      </c>
      <c r="E49" s="4">
        <v>-73.997500000000002</v>
      </c>
      <c r="F49" s="4">
        <v>-83.088200000000001</v>
      </c>
      <c r="G49" s="4">
        <v>-86.108599999999996</v>
      </c>
      <c r="H49" s="4">
        <v>-60.621000000000002</v>
      </c>
      <c r="I49" s="4">
        <v>-80.309899999999999</v>
      </c>
      <c r="J49" s="4">
        <v>-73.306299999999993</v>
      </c>
      <c r="K49" s="4">
        <v>-37.858199999999997</v>
      </c>
      <c r="M49" t="s">
        <v>85</v>
      </c>
      <c r="N49">
        <v>-50.1</v>
      </c>
      <c r="O49">
        <v>-84.678899999999999</v>
      </c>
      <c r="P49">
        <v>-70.364500000000007</v>
      </c>
      <c r="Q49">
        <v>-79.329499999999996</v>
      </c>
      <c r="R49">
        <v>-98.028800000000004</v>
      </c>
      <c r="S49">
        <v>-55.312899999999999</v>
      </c>
      <c r="T49">
        <v>-74.317499999999995</v>
      </c>
      <c r="U49">
        <v>-69.538700000000006</v>
      </c>
      <c r="V49">
        <v>-37.965200000000003</v>
      </c>
    </row>
    <row r="50" spans="1:22" x14ac:dyDescent="0.35">
      <c r="A50" s="1" t="s">
        <v>56</v>
      </c>
      <c r="B50">
        <v>-69</v>
      </c>
      <c r="C50" t="s">
        <v>56</v>
      </c>
      <c r="D50" s="4">
        <v>-95.088200000000001</v>
      </c>
      <c r="E50" s="4">
        <v>-74.3446</v>
      </c>
      <c r="F50" s="4">
        <v>-82.643500000000003</v>
      </c>
      <c r="G50" s="4">
        <v>-90.273399999999995</v>
      </c>
      <c r="H50" s="4">
        <v>-61.615099999999998</v>
      </c>
      <c r="I50" s="4">
        <v>-88.1524</v>
      </c>
      <c r="J50" s="4">
        <v>-72.5899</v>
      </c>
      <c r="K50" s="4">
        <v>-28.009399999999999</v>
      </c>
      <c r="M50" t="s">
        <v>86</v>
      </c>
      <c r="N50">
        <v>-52.5</v>
      </c>
      <c r="O50">
        <v>-83.644499999999994</v>
      </c>
      <c r="P50">
        <v>-69.414699999999996</v>
      </c>
      <c r="Q50">
        <v>-78.229500000000002</v>
      </c>
      <c r="R50">
        <v>-98.0685</v>
      </c>
      <c r="S50">
        <v>-54.646799999999999</v>
      </c>
      <c r="T50">
        <v>-74.864699999999999</v>
      </c>
      <c r="U50">
        <v>-69.013599999999997</v>
      </c>
      <c r="V50">
        <v>-35.932600000000001</v>
      </c>
    </row>
    <row r="51" spans="1:22" x14ac:dyDescent="0.35">
      <c r="A51" s="1" t="s">
        <v>57</v>
      </c>
      <c r="B51">
        <v>-66.8</v>
      </c>
      <c r="C51" t="s">
        <v>57</v>
      </c>
      <c r="D51" s="4">
        <v>-96.023799999999994</v>
      </c>
      <c r="E51" s="4">
        <v>-75.279399999999995</v>
      </c>
      <c r="F51" s="4">
        <v>-83.892499999999998</v>
      </c>
      <c r="G51" s="4">
        <v>-92.802999999999997</v>
      </c>
      <c r="H51" s="4">
        <v>-60.058999999999997</v>
      </c>
      <c r="I51" s="4">
        <v>-86.885599999999997</v>
      </c>
      <c r="J51" s="4">
        <v>-75.356200000000001</v>
      </c>
      <c r="K51" s="4">
        <v>-32.565199999999997</v>
      </c>
      <c r="M51" t="s">
        <v>87</v>
      </c>
      <c r="N51">
        <v>-49.6</v>
      </c>
      <c r="O51">
        <v>-83.905100000000004</v>
      </c>
      <c r="P51">
        <v>-69.693399999999997</v>
      </c>
      <c r="Q51">
        <v>-78.651700000000005</v>
      </c>
      <c r="R51">
        <v>-96.094800000000006</v>
      </c>
      <c r="S51">
        <v>-55.223199999999999</v>
      </c>
      <c r="T51">
        <v>-73.184399999999997</v>
      </c>
      <c r="U51">
        <v>-70.374600000000001</v>
      </c>
      <c r="V51">
        <v>-37.6952</v>
      </c>
    </row>
    <row r="52" spans="1:22" x14ac:dyDescent="0.35">
      <c r="A52" s="1" t="s">
        <v>58</v>
      </c>
      <c r="B52">
        <v>-67.099999999999994</v>
      </c>
      <c r="C52" t="s">
        <v>58</v>
      </c>
      <c r="D52" s="4">
        <v>-96.062799999999996</v>
      </c>
      <c r="E52" s="4">
        <v>-75.436499999999995</v>
      </c>
      <c r="F52" s="4">
        <v>-84.165499999999994</v>
      </c>
      <c r="G52" s="4">
        <v>-92.693600000000004</v>
      </c>
      <c r="H52" s="4">
        <v>-61.053199999999997</v>
      </c>
      <c r="I52" s="4">
        <v>-84.994399999999999</v>
      </c>
      <c r="J52" s="4">
        <v>-75.762500000000003</v>
      </c>
      <c r="K52" s="4">
        <v>-32.576599999999999</v>
      </c>
      <c r="M52" t="s">
        <v>88</v>
      </c>
      <c r="N52">
        <v>-88.5</v>
      </c>
      <c r="O52">
        <v>-118.2051</v>
      </c>
      <c r="P52">
        <v>-94.574299999999994</v>
      </c>
      <c r="Q52">
        <v>-105.3556</v>
      </c>
      <c r="R52">
        <v>-97.208600000000004</v>
      </c>
      <c r="S52">
        <v>-76.936800000000005</v>
      </c>
      <c r="T52">
        <v>-107.3198</v>
      </c>
      <c r="U52">
        <v>-93.399600000000007</v>
      </c>
      <c r="V52">
        <v>-46.6965</v>
      </c>
    </row>
    <row r="53" spans="1:22" x14ac:dyDescent="0.35">
      <c r="A53" s="1" t="s">
        <v>59</v>
      </c>
      <c r="B53">
        <v>-66</v>
      </c>
      <c r="C53" t="s">
        <v>59</v>
      </c>
      <c r="D53" s="4">
        <v>-94.244600000000005</v>
      </c>
      <c r="E53" s="4">
        <v>-73.718000000000004</v>
      </c>
      <c r="F53" s="4">
        <v>-81.957099999999997</v>
      </c>
      <c r="G53" s="4">
        <v>-90.324299999999994</v>
      </c>
      <c r="H53" s="4">
        <v>-60.477400000000003</v>
      </c>
      <c r="I53" s="4">
        <v>-83.729299999999995</v>
      </c>
      <c r="J53" s="4">
        <v>-72.9101</v>
      </c>
      <c r="K53" s="4">
        <v>-28.383299999999998</v>
      </c>
      <c r="M53" t="s">
        <v>89</v>
      </c>
      <c r="N53">
        <v>-89.3</v>
      </c>
      <c r="O53">
        <v>-117.7702</v>
      </c>
      <c r="P53">
        <v>-93.995099999999994</v>
      </c>
      <c r="Q53">
        <v>-104.55970000000001</v>
      </c>
      <c r="R53">
        <v>-98.859899999999996</v>
      </c>
      <c r="S53">
        <v>-76.344300000000004</v>
      </c>
      <c r="T53">
        <v>-108.2654</v>
      </c>
      <c r="U53">
        <v>-91.878200000000007</v>
      </c>
      <c r="V53">
        <v>-46.005000000000003</v>
      </c>
    </row>
    <row r="54" spans="1:22" x14ac:dyDescent="0.35">
      <c r="A54" s="1" t="s">
        <v>60</v>
      </c>
      <c r="B54">
        <v>-72.3</v>
      </c>
      <c r="C54" t="s">
        <v>60</v>
      </c>
      <c r="D54" s="4">
        <v>-94.083399999999997</v>
      </c>
      <c r="E54" s="4">
        <v>-73.558000000000007</v>
      </c>
      <c r="F54" s="4">
        <v>-81.7607</v>
      </c>
      <c r="G54" s="4">
        <v>-90.119200000000006</v>
      </c>
      <c r="H54" s="4">
        <v>-59.6083</v>
      </c>
      <c r="I54" s="4">
        <v>-84.548199999999994</v>
      </c>
      <c r="J54" s="4">
        <v>-73.611500000000007</v>
      </c>
      <c r="K54" s="4">
        <v>-30.119399999999999</v>
      </c>
      <c r="M54" t="s">
        <v>90</v>
      </c>
      <c r="N54">
        <v>-89.4</v>
      </c>
      <c r="O54">
        <v>-118.6237</v>
      </c>
      <c r="P54">
        <v>-94.942999999999998</v>
      </c>
      <c r="Q54">
        <v>-105.6818</v>
      </c>
      <c r="R54">
        <v>-98.591499999999996</v>
      </c>
      <c r="S54">
        <v>-77.243700000000004</v>
      </c>
      <c r="T54">
        <v>-111.6799</v>
      </c>
      <c r="U54">
        <v>-92.630399999999995</v>
      </c>
      <c r="V54">
        <v>-45.082999999999998</v>
      </c>
    </row>
    <row r="55" spans="1:22" x14ac:dyDescent="0.35">
      <c r="A55" s="1" t="s">
        <v>61</v>
      </c>
      <c r="B55">
        <f>-74.2</f>
        <v>-74.2</v>
      </c>
      <c r="C55" t="s">
        <v>61</v>
      </c>
      <c r="D55" s="4">
        <v>-101.50109999999999</v>
      </c>
      <c r="E55" s="4">
        <v>-82.680300000000003</v>
      </c>
      <c r="F55" s="4">
        <v>-92.622799999999998</v>
      </c>
      <c r="G55" s="4">
        <v>-98.392099999999999</v>
      </c>
      <c r="H55" s="4">
        <v>-66.485500000000002</v>
      </c>
      <c r="I55" s="4">
        <v>-92.3536</v>
      </c>
      <c r="J55" s="4">
        <v>-83.0124</v>
      </c>
      <c r="K55" s="4">
        <v>-45.2926</v>
      </c>
      <c r="M55" t="s">
        <v>91</v>
      </c>
      <c r="N55">
        <v>-89.8</v>
      </c>
      <c r="O55">
        <v>-117.0476</v>
      </c>
      <c r="P55">
        <v>-93.487200000000001</v>
      </c>
      <c r="Q55">
        <v>-104.38590000000001</v>
      </c>
      <c r="R55">
        <v>-97.684299999999993</v>
      </c>
      <c r="S55">
        <v>-75.569999999999993</v>
      </c>
      <c r="T55">
        <v>-107.10809999999999</v>
      </c>
      <c r="U55">
        <v>-91.346900000000005</v>
      </c>
      <c r="V55">
        <v>-46.708199999999998</v>
      </c>
    </row>
    <row r="56" spans="1:22" x14ac:dyDescent="0.35">
      <c r="A56" s="1" t="s">
        <v>62</v>
      </c>
      <c r="B56">
        <v>-76.2</v>
      </c>
      <c r="C56" t="s">
        <v>62</v>
      </c>
      <c r="D56" s="4">
        <v>-99.191299999999998</v>
      </c>
      <c r="E56" s="4">
        <v>-80.569900000000004</v>
      </c>
      <c r="F56" s="4">
        <v>-90.343800000000002</v>
      </c>
      <c r="G56" s="4">
        <v>-95.493799999999993</v>
      </c>
      <c r="H56" s="4">
        <v>-64.782799999999995</v>
      </c>
      <c r="I56" s="4">
        <v>-89.4846</v>
      </c>
      <c r="J56" s="4">
        <v>-80.730999999999995</v>
      </c>
      <c r="K56" s="4">
        <v>-43.440399999999997</v>
      </c>
      <c r="M56" t="s">
        <v>92</v>
      </c>
      <c r="N56">
        <v>-59.5</v>
      </c>
      <c r="O56">
        <v>-87.297700000000006</v>
      </c>
      <c r="P56">
        <v>-72.188299999999998</v>
      </c>
      <c r="Q56">
        <v>-81.3523</v>
      </c>
      <c r="R56">
        <v>-100.121</v>
      </c>
      <c r="S56">
        <v>-57.389200000000002</v>
      </c>
      <c r="T56">
        <v>-75.941699999999997</v>
      </c>
      <c r="U56">
        <v>-75.085599999999999</v>
      </c>
      <c r="V56">
        <v>-45.744500000000002</v>
      </c>
    </row>
    <row r="57" spans="1:22" x14ac:dyDescent="0.35">
      <c r="A57" s="1" t="s">
        <v>63</v>
      </c>
      <c r="B57">
        <v>-77.2</v>
      </c>
      <c r="C57" t="s">
        <v>63</v>
      </c>
      <c r="D57" s="4">
        <v>-98.319500000000005</v>
      </c>
      <c r="E57" s="4">
        <v>-79.693399999999997</v>
      </c>
      <c r="F57" s="4">
        <v>-89.263400000000004</v>
      </c>
      <c r="G57" s="4">
        <v>-94.748800000000003</v>
      </c>
      <c r="H57" s="4">
        <v>-64.14</v>
      </c>
      <c r="I57" s="4">
        <v>-89.722099999999998</v>
      </c>
      <c r="J57" s="4">
        <v>-79.1995</v>
      </c>
      <c r="K57" s="4">
        <v>-40.9527</v>
      </c>
      <c r="M57" t="s">
        <v>93</v>
      </c>
      <c r="N57">
        <v>-66.5</v>
      </c>
      <c r="O57">
        <v>-85.919499999999999</v>
      </c>
      <c r="P57">
        <v>-71.069500000000005</v>
      </c>
      <c r="Q57">
        <v>-80.223399999999998</v>
      </c>
      <c r="R57">
        <v>-105.7449</v>
      </c>
      <c r="S57">
        <v>-56.008699999999997</v>
      </c>
      <c r="T57">
        <v>-74.548900000000003</v>
      </c>
      <c r="U57">
        <v>-73.306600000000003</v>
      </c>
      <c r="V57">
        <v>-44.5867</v>
      </c>
    </row>
    <row r="58" spans="1:22" x14ac:dyDescent="0.35">
      <c r="A58" s="1" t="s">
        <v>64</v>
      </c>
      <c r="B58">
        <v>-75.5</v>
      </c>
      <c r="C58" t="s">
        <v>64</v>
      </c>
      <c r="D58" s="4">
        <v>-98.611400000000003</v>
      </c>
      <c r="E58" s="4">
        <v>-80.018699999999995</v>
      </c>
      <c r="F58" s="4">
        <v>-89.495699999999999</v>
      </c>
      <c r="G58" s="4">
        <v>-95.2911</v>
      </c>
      <c r="H58" s="4">
        <v>-64.817800000000005</v>
      </c>
      <c r="I58" s="4">
        <v>-89.922300000000007</v>
      </c>
      <c r="J58" s="4">
        <v>-80.189400000000006</v>
      </c>
      <c r="K58" s="4">
        <v>-41.138300000000001</v>
      </c>
      <c r="M58" t="s">
        <v>94</v>
      </c>
      <c r="N58">
        <v>-58.9</v>
      </c>
      <c r="O58">
        <v>-86.424300000000002</v>
      </c>
      <c r="P58">
        <v>-71.4465</v>
      </c>
      <c r="Q58">
        <v>-80.640799999999999</v>
      </c>
      <c r="R58">
        <v>-104.86239999999999</v>
      </c>
      <c r="S58">
        <v>-56.648499999999999</v>
      </c>
      <c r="T58">
        <v>-76.492900000000006</v>
      </c>
      <c r="U58">
        <v>-74.400499999999994</v>
      </c>
      <c r="V58">
        <v>-44.322200000000002</v>
      </c>
    </row>
    <row r="59" spans="1:22" x14ac:dyDescent="0.35">
      <c r="A59" s="1" t="s">
        <v>65</v>
      </c>
      <c r="B59">
        <v>-79.3</v>
      </c>
      <c r="C59" t="s">
        <v>65</v>
      </c>
      <c r="D59" s="4">
        <v>-105.1845</v>
      </c>
      <c r="E59" s="4">
        <v>-85.060900000000004</v>
      </c>
      <c r="F59" s="4">
        <v>-96.082800000000006</v>
      </c>
      <c r="G59" s="4">
        <v>-102.0575</v>
      </c>
      <c r="H59" s="4">
        <v>-68.746399999999994</v>
      </c>
      <c r="I59" s="4">
        <v>-102.3841</v>
      </c>
      <c r="J59" s="4">
        <v>-83.962999999999994</v>
      </c>
      <c r="K59" s="4">
        <v>-41.622799999999998</v>
      </c>
      <c r="M59" t="s">
        <v>95</v>
      </c>
      <c r="N59">
        <v>-64.400000000000006</v>
      </c>
      <c r="O59">
        <v>-85.478399999999993</v>
      </c>
      <c r="P59">
        <v>-70.514399999999995</v>
      </c>
      <c r="Q59">
        <v>-79.621700000000004</v>
      </c>
      <c r="R59">
        <v>-105.1219</v>
      </c>
      <c r="S59">
        <v>-55.846800000000002</v>
      </c>
      <c r="T59">
        <v>-73.613600000000005</v>
      </c>
      <c r="U59">
        <v>-73.057699999999997</v>
      </c>
      <c r="V59">
        <v>-44.970700000000001</v>
      </c>
    </row>
    <row r="60" spans="1:22" x14ac:dyDescent="0.35">
      <c r="A60" s="1" t="s">
        <v>66</v>
      </c>
      <c r="B60">
        <v>-76.8</v>
      </c>
      <c r="C60" t="s">
        <v>66</v>
      </c>
      <c r="D60" s="4">
        <v>-106.2923</v>
      </c>
      <c r="E60" s="4">
        <v>-86.057100000000005</v>
      </c>
      <c r="F60" s="4">
        <v>-97.120699999999999</v>
      </c>
      <c r="G60" s="4">
        <v>-103.1285</v>
      </c>
      <c r="H60" s="4">
        <v>-69.323400000000007</v>
      </c>
      <c r="I60" s="4">
        <v>-95.995400000000004</v>
      </c>
      <c r="J60" s="4">
        <v>-84.709199999999996</v>
      </c>
      <c r="K60" s="4">
        <v>-42.126600000000003</v>
      </c>
      <c r="M60" t="s">
        <v>96</v>
      </c>
      <c r="N60">
        <v>-71.900000000000006</v>
      </c>
      <c r="O60">
        <v>-108.3085</v>
      </c>
      <c r="P60">
        <v>-89.2423</v>
      </c>
      <c r="Q60">
        <v>-100.1568</v>
      </c>
      <c r="R60">
        <v>-106.6589</v>
      </c>
      <c r="S60">
        <v>-72.226100000000002</v>
      </c>
      <c r="T60">
        <v>-96.023899999999998</v>
      </c>
      <c r="U60">
        <v>-90.779399999999995</v>
      </c>
      <c r="V60">
        <v>-44.258699999999997</v>
      </c>
    </row>
    <row r="61" spans="1:22" x14ac:dyDescent="0.35">
      <c r="A61" s="1" t="s">
        <v>67</v>
      </c>
      <c r="B61">
        <v>-73.900000000000006</v>
      </c>
      <c r="C61" t="s">
        <v>67</v>
      </c>
      <c r="D61" s="4">
        <v>-105.4888</v>
      </c>
      <c r="E61" s="4">
        <v>-85.182400000000001</v>
      </c>
      <c r="F61" s="4">
        <v>-96.127099999999999</v>
      </c>
      <c r="G61" s="4">
        <v>-102.6317</v>
      </c>
      <c r="H61" s="4">
        <v>-68.5762</v>
      </c>
      <c r="I61" s="4">
        <v>-100.60639999999999</v>
      </c>
      <c r="J61" s="4">
        <v>-84.697100000000006</v>
      </c>
      <c r="K61" s="4">
        <v>-42.9054</v>
      </c>
      <c r="M61" t="s">
        <v>97</v>
      </c>
      <c r="N61">
        <v>-76.5</v>
      </c>
      <c r="O61">
        <v>-108.7842</v>
      </c>
      <c r="P61">
        <v>-89.7286</v>
      </c>
      <c r="Q61">
        <v>-100.6343</v>
      </c>
      <c r="R61">
        <v>-105.9426</v>
      </c>
      <c r="S61">
        <v>-72.907899999999998</v>
      </c>
      <c r="T61">
        <v>-101.9482</v>
      </c>
      <c r="U61">
        <v>-90.69</v>
      </c>
      <c r="V61">
        <v>-53.592700000000001</v>
      </c>
    </row>
    <row r="62" spans="1:22" x14ac:dyDescent="0.35">
      <c r="A62" s="1" t="s">
        <v>68</v>
      </c>
      <c r="B62">
        <v>-74</v>
      </c>
      <c r="C62" t="s">
        <v>68</v>
      </c>
      <c r="D62" s="4">
        <v>-105.6797</v>
      </c>
      <c r="E62" s="4">
        <v>-85.488</v>
      </c>
      <c r="F62" s="4">
        <v>-96.240700000000004</v>
      </c>
      <c r="G62" s="4">
        <v>-102.8051</v>
      </c>
      <c r="H62" s="4">
        <v>-69.184799999999996</v>
      </c>
      <c r="I62" s="4">
        <v>-97.042199999999994</v>
      </c>
      <c r="J62" s="4">
        <v>-85.020200000000003</v>
      </c>
      <c r="K62" s="4">
        <v>-42.806600000000003</v>
      </c>
      <c r="M62" t="s">
        <v>98</v>
      </c>
      <c r="N62">
        <v>-70.7</v>
      </c>
      <c r="O62">
        <v>-107.9213</v>
      </c>
      <c r="P62">
        <v>-88.601600000000005</v>
      </c>
      <c r="Q62">
        <v>-99.37</v>
      </c>
      <c r="R62">
        <v>-112.9803</v>
      </c>
      <c r="S62">
        <v>-71.778000000000006</v>
      </c>
      <c r="T62">
        <v>-99.364699999999999</v>
      </c>
      <c r="U62">
        <v>-89.650099999999995</v>
      </c>
      <c r="V62">
        <v>-53.389899999999997</v>
      </c>
    </row>
    <row r="63" spans="1:22" x14ac:dyDescent="0.35">
      <c r="A63" s="1" t="s">
        <v>69</v>
      </c>
      <c r="B63">
        <v>-76.599999999999994</v>
      </c>
      <c r="C63" t="s">
        <v>69</v>
      </c>
      <c r="D63" s="4">
        <v>-104.5219</v>
      </c>
      <c r="E63" s="4">
        <v>-84.422499999999999</v>
      </c>
      <c r="F63" s="4">
        <v>-94.970200000000006</v>
      </c>
      <c r="G63" s="4">
        <v>-102.3715</v>
      </c>
      <c r="H63" s="4">
        <v>-68.387299999999996</v>
      </c>
      <c r="I63" s="4">
        <v>-90.891900000000007</v>
      </c>
      <c r="J63" s="4">
        <v>-84.016499999999994</v>
      </c>
      <c r="K63" s="4">
        <v>-41.2012</v>
      </c>
      <c r="M63" s="1" t="s">
        <v>33</v>
      </c>
      <c r="N63">
        <v>-77.400000000000006</v>
      </c>
      <c r="O63">
        <v>-104.8074</v>
      </c>
      <c r="P63">
        <v>-84.390799999999999</v>
      </c>
      <c r="Q63">
        <v>-94.749099999999999</v>
      </c>
      <c r="R63">
        <v>-114.2363</v>
      </c>
      <c r="S63">
        <v>-67.912899999999993</v>
      </c>
      <c r="T63">
        <v>-99.016199999999998</v>
      </c>
      <c r="U63">
        <v>-83.412099999999995</v>
      </c>
      <c r="V63">
        <v>-50.532699999999998</v>
      </c>
    </row>
    <row r="64" spans="1:22" x14ac:dyDescent="0.35">
      <c r="A64" s="1" t="s">
        <v>70</v>
      </c>
      <c r="B64">
        <v>-82.9</v>
      </c>
      <c r="C64" t="s">
        <v>70</v>
      </c>
      <c r="D64" s="4">
        <v>-111.9042</v>
      </c>
      <c r="E64" s="4">
        <v>-91.087000000000003</v>
      </c>
      <c r="F64" s="4">
        <v>-102.5168</v>
      </c>
      <c r="G64" s="4">
        <v>-108.75149999999999</v>
      </c>
      <c r="H64" s="4">
        <v>-73.816199999999995</v>
      </c>
      <c r="I64" s="4">
        <v>-107.4284</v>
      </c>
      <c r="J64" s="4">
        <v>-90.217299999999994</v>
      </c>
      <c r="K64" s="4">
        <v>-48.131399999999999</v>
      </c>
      <c r="M64" s="1" t="s">
        <v>34</v>
      </c>
      <c r="N64">
        <v>-72.8</v>
      </c>
      <c r="O64">
        <v>-104.59439999999999</v>
      </c>
      <c r="P64">
        <v>-84.199100000000001</v>
      </c>
      <c r="Q64">
        <v>-94.396100000000004</v>
      </c>
      <c r="R64">
        <v>-111.455</v>
      </c>
      <c r="S64">
        <v>-68.0732</v>
      </c>
      <c r="T64">
        <v>-94.660600000000002</v>
      </c>
      <c r="U64">
        <v>-82.882999999999996</v>
      </c>
      <c r="V64">
        <v>-52.698300000000003</v>
      </c>
    </row>
    <row r="65" spans="1:22" x14ac:dyDescent="0.35">
      <c r="A65" s="1" t="s">
        <v>71</v>
      </c>
      <c r="B65">
        <v>-81</v>
      </c>
      <c r="C65" t="s">
        <v>71</v>
      </c>
      <c r="D65" s="4">
        <v>-112.74209999999999</v>
      </c>
      <c r="E65" s="4">
        <v>-91.761600000000001</v>
      </c>
      <c r="F65" s="4">
        <v>-103.0929</v>
      </c>
      <c r="G65" s="4">
        <v>-109.562</v>
      </c>
      <c r="H65" s="4">
        <v>-74.047700000000006</v>
      </c>
      <c r="I65" s="4">
        <v>-105.1677</v>
      </c>
      <c r="J65" s="4">
        <v>-91.053200000000004</v>
      </c>
      <c r="K65" s="4">
        <v>-48.858199999999997</v>
      </c>
      <c r="M65" s="1" t="s">
        <v>35</v>
      </c>
      <c r="N65">
        <v>-72.3</v>
      </c>
      <c r="O65">
        <v>-105.0262</v>
      </c>
      <c r="P65">
        <v>-84.551299999999998</v>
      </c>
      <c r="Q65">
        <v>-95.106999999999999</v>
      </c>
      <c r="R65">
        <v>-113.2756</v>
      </c>
      <c r="S65">
        <v>-68.517399999999995</v>
      </c>
      <c r="T65">
        <v>-95.305199999999999</v>
      </c>
      <c r="U65">
        <v>-84.339399999999998</v>
      </c>
      <c r="V65">
        <v>-51.717500000000001</v>
      </c>
    </row>
    <row r="66" spans="1:22" x14ac:dyDescent="0.35">
      <c r="A66" s="1" t="s">
        <v>72</v>
      </c>
      <c r="B66">
        <v>-81.099999999999994</v>
      </c>
      <c r="C66" t="s">
        <v>72</v>
      </c>
      <c r="D66" s="4">
        <v>-112.34739999999999</v>
      </c>
      <c r="E66" s="4">
        <v>-91.287199999999999</v>
      </c>
      <c r="F66" s="4">
        <v>-102.86069999999999</v>
      </c>
      <c r="G66" s="4">
        <v>-109.074</v>
      </c>
      <c r="H66" s="4">
        <v>-73.332499999999996</v>
      </c>
      <c r="I66" s="4">
        <v>-106.4254</v>
      </c>
      <c r="J66" s="4">
        <v>-89.768299999999996</v>
      </c>
      <c r="K66" s="4">
        <v>-47.664299999999997</v>
      </c>
      <c r="M66" s="1" t="s">
        <v>36</v>
      </c>
      <c r="N66">
        <v>-73.7</v>
      </c>
      <c r="O66">
        <v>-104.6722</v>
      </c>
      <c r="P66">
        <v>-84.256399999999999</v>
      </c>
      <c r="Q66">
        <v>-94.715000000000003</v>
      </c>
      <c r="R66">
        <v>-113.6337</v>
      </c>
      <c r="S66">
        <v>-68.207300000000004</v>
      </c>
      <c r="T66">
        <v>-101.2503</v>
      </c>
      <c r="U66">
        <v>-74.5</v>
      </c>
    </row>
    <row r="67" spans="1:22" x14ac:dyDescent="0.35">
      <c r="A67" s="1" t="s">
        <v>73</v>
      </c>
      <c r="B67">
        <v>-78.2</v>
      </c>
      <c r="C67" t="s">
        <v>73</v>
      </c>
      <c r="D67" s="4">
        <v>-112.65649999999999</v>
      </c>
      <c r="E67" s="4">
        <v>-91.824299999999994</v>
      </c>
      <c r="F67" s="4">
        <v>-103.64230000000001</v>
      </c>
      <c r="G67" s="4">
        <v>-110.0091</v>
      </c>
      <c r="H67" s="4">
        <v>-73.825500000000005</v>
      </c>
      <c r="I67" s="4">
        <v>-107.9999</v>
      </c>
      <c r="J67" s="4">
        <v>-91.049899999999994</v>
      </c>
      <c r="K67" s="4">
        <v>-49.261400000000002</v>
      </c>
      <c r="M67" s="1" t="s">
        <v>37</v>
      </c>
      <c r="N67">
        <v>-58.1</v>
      </c>
      <c r="O67">
        <v>-90.524600000000007</v>
      </c>
      <c r="P67">
        <v>-72.921700000000001</v>
      </c>
      <c r="Q67">
        <v>-81.716300000000004</v>
      </c>
      <c r="R67">
        <v>-100.8436</v>
      </c>
      <c r="S67">
        <v>-58.784599999999998</v>
      </c>
      <c r="T67">
        <v>-83.428399999999996</v>
      </c>
      <c r="U67">
        <v>-76.123500000000007</v>
      </c>
      <c r="V67">
        <v>-48.405799999999999</v>
      </c>
    </row>
    <row r="68" spans="1:22" x14ac:dyDescent="0.35">
      <c r="A68" s="1" t="s">
        <v>74</v>
      </c>
      <c r="B68">
        <v>-78.7</v>
      </c>
      <c r="C68" t="s">
        <v>74</v>
      </c>
      <c r="D68" s="4">
        <v>-109.7821</v>
      </c>
      <c r="E68" s="4">
        <v>-88.895899999999997</v>
      </c>
      <c r="F68" s="4">
        <v>-100.001</v>
      </c>
      <c r="G68" s="4">
        <v>-106.2929</v>
      </c>
      <c r="H68" s="4">
        <v>-71.328199999999995</v>
      </c>
      <c r="I68" s="4">
        <v>-97.461500000000001</v>
      </c>
      <c r="J68" s="4">
        <v>-87.465199999999996</v>
      </c>
      <c r="K68" s="4">
        <v>-44.2029</v>
      </c>
      <c r="M68" s="1" t="s">
        <v>38</v>
      </c>
      <c r="N68">
        <v>-57.4</v>
      </c>
      <c r="O68">
        <v>-90.497299999999996</v>
      </c>
      <c r="P68">
        <v>-73.044600000000003</v>
      </c>
      <c r="Q68">
        <v>-81.876300000000001</v>
      </c>
      <c r="R68">
        <v>-100.248</v>
      </c>
      <c r="S68">
        <v>-59.359499999999997</v>
      </c>
      <c r="T68">
        <v>-79.918199999999999</v>
      </c>
      <c r="U68">
        <v>-76.158900000000003</v>
      </c>
      <c r="V68">
        <v>-48.4285</v>
      </c>
    </row>
    <row r="69" spans="1:22" x14ac:dyDescent="0.35">
      <c r="A69" s="1" t="s">
        <v>75</v>
      </c>
      <c r="B69">
        <v>-74.5</v>
      </c>
      <c r="C69" t="s">
        <v>75</v>
      </c>
      <c r="D69" s="4">
        <v>-100.1202</v>
      </c>
      <c r="E69" s="4">
        <v>-81.868399999999994</v>
      </c>
      <c r="F69" s="4">
        <v>-86.448499999999996</v>
      </c>
      <c r="G69" s="4">
        <v>-95.976200000000006</v>
      </c>
      <c r="H69" s="4">
        <v>-66.334500000000006</v>
      </c>
      <c r="I69" s="4">
        <v>-85.600999999999999</v>
      </c>
      <c r="J69" s="4">
        <v>-80.574399999999997</v>
      </c>
      <c r="K69" s="4">
        <v>-41.833399999999997</v>
      </c>
      <c r="M69" s="1" t="s">
        <v>39</v>
      </c>
      <c r="N69">
        <v>-63</v>
      </c>
      <c r="O69">
        <v>-90.552000000000007</v>
      </c>
      <c r="P69">
        <v>-72.996300000000005</v>
      </c>
      <c r="Q69">
        <v>-81.633700000000005</v>
      </c>
      <c r="R69">
        <v>-100.6301</v>
      </c>
      <c r="S69">
        <v>-59.057000000000002</v>
      </c>
      <c r="T69">
        <v>-79.602599999999995</v>
      </c>
      <c r="U69">
        <v>-75.810199999999995</v>
      </c>
      <c r="V69">
        <v>-48.1937</v>
      </c>
    </row>
    <row r="70" spans="1:22" x14ac:dyDescent="0.35">
      <c r="A70" s="1" t="s">
        <v>76</v>
      </c>
      <c r="B70">
        <v>-74.099999999999994</v>
      </c>
      <c r="C70" t="s">
        <v>76</v>
      </c>
      <c r="D70" s="4">
        <v>-101.2792</v>
      </c>
      <c r="E70" s="4">
        <v>-83.212800000000001</v>
      </c>
      <c r="F70" s="4">
        <v>-93.548199999999994</v>
      </c>
      <c r="G70" s="4">
        <v>-96.386799999999994</v>
      </c>
      <c r="H70" s="4">
        <v>-67.400300000000001</v>
      </c>
      <c r="I70" s="4">
        <v>-90.930800000000005</v>
      </c>
      <c r="J70" s="4">
        <v>-82.190899999999999</v>
      </c>
      <c r="K70" s="4">
        <v>-44.470500000000001</v>
      </c>
      <c r="M70" s="1" t="s">
        <v>40</v>
      </c>
      <c r="N70">
        <v>-59.1</v>
      </c>
      <c r="O70">
        <v>-90.740899999999996</v>
      </c>
      <c r="P70">
        <v>-73.195400000000006</v>
      </c>
      <c r="Q70">
        <v>-82.117000000000004</v>
      </c>
      <c r="R70">
        <v>-101.32470000000001</v>
      </c>
      <c r="S70">
        <v>-59.389000000000003</v>
      </c>
      <c r="T70">
        <v>-83.525199999999998</v>
      </c>
      <c r="U70">
        <v>-75.846400000000003</v>
      </c>
      <c r="V70">
        <v>-46.069400000000002</v>
      </c>
    </row>
    <row r="71" spans="1:22" x14ac:dyDescent="0.35">
      <c r="A71" s="1" t="s">
        <v>77</v>
      </c>
      <c r="B71">
        <v>-74.7</v>
      </c>
      <c r="C71" t="s">
        <v>77</v>
      </c>
      <c r="D71" s="4">
        <v>-102.6557</v>
      </c>
      <c r="E71" s="4">
        <v>-84.334299999999999</v>
      </c>
      <c r="F71" s="4">
        <v>-95.296800000000005</v>
      </c>
      <c r="G71" s="4">
        <v>-97.112399999999994</v>
      </c>
      <c r="H71" s="4">
        <v>-67.888099999999994</v>
      </c>
      <c r="I71" s="4">
        <v>-95.891499999999994</v>
      </c>
      <c r="J71" s="4">
        <v>-82.903000000000006</v>
      </c>
      <c r="K71" s="4">
        <v>-45.0944</v>
      </c>
      <c r="M71" s="1" t="s">
        <v>41</v>
      </c>
      <c r="N71">
        <v>-58.9</v>
      </c>
      <c r="O71">
        <v>-90.953100000000006</v>
      </c>
      <c r="P71">
        <v>-73.335700000000003</v>
      </c>
      <c r="Q71">
        <v>-82.286000000000001</v>
      </c>
      <c r="R71">
        <v>-105.6536</v>
      </c>
      <c r="S71">
        <v>-59.1877</v>
      </c>
      <c r="T71">
        <v>-84.572299999999998</v>
      </c>
      <c r="U71">
        <v>-75.924099999999996</v>
      </c>
      <c r="V71">
        <v>-46.244</v>
      </c>
    </row>
    <row r="72" spans="1:22" x14ac:dyDescent="0.35">
      <c r="A72" s="1" t="s">
        <v>78</v>
      </c>
      <c r="B72">
        <v>-75</v>
      </c>
      <c r="C72" t="s">
        <v>78</v>
      </c>
      <c r="D72" s="4">
        <v>-100.24979999999999</v>
      </c>
      <c r="E72" s="4">
        <v>-82.023300000000006</v>
      </c>
      <c r="F72" s="4">
        <v>-92.046700000000001</v>
      </c>
      <c r="G72" s="4">
        <v>-95.722999999999999</v>
      </c>
      <c r="H72" s="4">
        <v>-65.973799999999997</v>
      </c>
      <c r="I72" s="4">
        <v>-90.793300000000002</v>
      </c>
      <c r="J72" s="4">
        <v>-80.869</v>
      </c>
      <c r="K72" s="4">
        <v>-42.007199999999997</v>
      </c>
      <c r="M72" s="1" t="s">
        <v>42</v>
      </c>
      <c r="N72">
        <v>-72.3</v>
      </c>
      <c r="O72">
        <v>-112.1266</v>
      </c>
      <c r="P72">
        <v>-91.268100000000004</v>
      </c>
      <c r="Q72">
        <v>-102.3828</v>
      </c>
      <c r="R72">
        <v>-106.2247</v>
      </c>
      <c r="S72">
        <v>-73.403999999999996</v>
      </c>
      <c r="T72">
        <v>-103.22629999999999</v>
      </c>
      <c r="U72">
        <v>-89.782399999999996</v>
      </c>
      <c r="V72">
        <v>-45.621099999999998</v>
      </c>
    </row>
    <row r="73" spans="1:22" x14ac:dyDescent="0.35">
      <c r="A73" s="1" t="s">
        <v>79</v>
      </c>
      <c r="B73">
        <v>-77.2</v>
      </c>
      <c r="C73" t="s">
        <v>79</v>
      </c>
      <c r="D73" s="4">
        <v>-103.80329999999999</v>
      </c>
      <c r="E73" s="4">
        <v>-82.832700000000003</v>
      </c>
      <c r="F73" s="4">
        <v>-92.748800000000003</v>
      </c>
      <c r="G73" s="4">
        <v>-99.977699999999999</v>
      </c>
      <c r="H73" s="4">
        <v>-66.344800000000006</v>
      </c>
      <c r="I73" s="4">
        <v>-97.795299999999997</v>
      </c>
      <c r="J73" s="4">
        <v>-81.885400000000004</v>
      </c>
      <c r="K73" s="4">
        <v>-39.232199999999999</v>
      </c>
      <c r="M73" s="1" t="s">
        <v>43</v>
      </c>
      <c r="N73">
        <v>-74</v>
      </c>
      <c r="O73">
        <v>-111.9785</v>
      </c>
      <c r="P73">
        <v>-91.025300000000001</v>
      </c>
      <c r="Q73">
        <v>-101.98180000000001</v>
      </c>
      <c r="R73">
        <v>-105.6281</v>
      </c>
      <c r="S73">
        <v>-73.227400000000003</v>
      </c>
      <c r="T73">
        <v>-102.4221</v>
      </c>
      <c r="U73">
        <v>-90.377300000000005</v>
      </c>
      <c r="V73">
        <v>-45.980899999999998</v>
      </c>
    </row>
    <row r="74" spans="1:22" x14ac:dyDescent="0.35">
      <c r="A74" s="1" t="s">
        <v>80</v>
      </c>
      <c r="B74">
        <v>-75.8</v>
      </c>
      <c r="C74" t="s">
        <v>80</v>
      </c>
      <c r="D74" s="4">
        <v>-100.9927</v>
      </c>
      <c r="E74" s="4">
        <v>-80.381100000000004</v>
      </c>
      <c r="F74" s="4">
        <v>-89.970100000000002</v>
      </c>
      <c r="G74" s="4">
        <v>-98.658100000000005</v>
      </c>
      <c r="H74" s="4">
        <v>-64.742400000000004</v>
      </c>
      <c r="I74" s="4">
        <v>-90.281400000000005</v>
      </c>
      <c r="J74" s="4">
        <v>-79.720299999999995</v>
      </c>
      <c r="K74" s="4">
        <v>-36.898400000000002</v>
      </c>
      <c r="M74" s="1" t="s">
        <v>44</v>
      </c>
      <c r="N74">
        <v>-75.2</v>
      </c>
      <c r="O74">
        <v>-111.3432</v>
      </c>
      <c r="P74">
        <v>-90.456400000000002</v>
      </c>
      <c r="Q74">
        <v>-101.4851</v>
      </c>
      <c r="R74">
        <v>-106.08029999999999</v>
      </c>
      <c r="S74">
        <v>-72.849199999999996</v>
      </c>
      <c r="T74">
        <v>-100.3977</v>
      </c>
      <c r="U74">
        <v>-89.654499999999999</v>
      </c>
      <c r="V74">
        <v>-45.906399999999998</v>
      </c>
    </row>
    <row r="75" spans="1:22" x14ac:dyDescent="0.35">
      <c r="A75" s="1" t="s">
        <v>81</v>
      </c>
      <c r="B75">
        <v>-78.599999999999994</v>
      </c>
      <c r="C75" t="s">
        <v>81</v>
      </c>
      <c r="D75" s="4">
        <v>-102.5578</v>
      </c>
      <c r="E75" s="4">
        <v>-81.8613</v>
      </c>
      <c r="F75" s="4">
        <v>-91.890500000000003</v>
      </c>
      <c r="G75" s="4">
        <v>-99.245400000000004</v>
      </c>
      <c r="H75" s="4">
        <v>-65.391599999999997</v>
      </c>
      <c r="I75" s="4">
        <v>-97.304699999999997</v>
      </c>
      <c r="J75" s="4">
        <v>-80.536299999999997</v>
      </c>
      <c r="K75" s="4">
        <v>-38.5334</v>
      </c>
      <c r="M75" s="1" t="s">
        <v>45</v>
      </c>
      <c r="N75">
        <v>-76.900000000000006</v>
      </c>
      <c r="O75">
        <v>-109.8652</v>
      </c>
      <c r="P75">
        <v>-89.151399999999995</v>
      </c>
      <c r="Q75">
        <v>-100.3155</v>
      </c>
      <c r="R75">
        <v>-105.5706</v>
      </c>
      <c r="S75">
        <v>-71.478800000000007</v>
      </c>
      <c r="T75">
        <v>-96.301299999999998</v>
      </c>
      <c r="U75">
        <v>-87.724500000000006</v>
      </c>
      <c r="V75">
        <v>-39.474299999999999</v>
      </c>
    </row>
    <row r="76" spans="1:22" x14ac:dyDescent="0.35">
      <c r="A76" s="1" t="s">
        <v>82</v>
      </c>
      <c r="B76">
        <v>-77.3</v>
      </c>
      <c r="C76" t="s">
        <v>82</v>
      </c>
      <c r="D76" s="4">
        <v>-103.97929999999999</v>
      </c>
      <c r="E76" s="4">
        <v>-83.117400000000004</v>
      </c>
      <c r="F76" s="4">
        <v>-93.190100000000001</v>
      </c>
      <c r="G76" s="4">
        <v>-100.46339999999999</v>
      </c>
      <c r="H76" s="4">
        <v>-66.464299999999994</v>
      </c>
      <c r="I76" s="4">
        <v>-93.626300000000001</v>
      </c>
      <c r="J76" s="4">
        <v>-82.034999999999997</v>
      </c>
      <c r="K76" s="4">
        <v>-39.240499999999997</v>
      </c>
      <c r="M76" s="1" t="s">
        <v>46</v>
      </c>
      <c r="N76">
        <v>-69.400000000000006</v>
      </c>
      <c r="O76">
        <v>-110.3229</v>
      </c>
      <c r="P76">
        <v>-89.569599999999994</v>
      </c>
      <c r="Q76">
        <v>-100.742</v>
      </c>
      <c r="R76">
        <v>-77.492099999999994</v>
      </c>
      <c r="S76">
        <v>-71.8904</v>
      </c>
      <c r="T76">
        <v>-100.6591</v>
      </c>
      <c r="U76">
        <v>-87.989500000000007</v>
      </c>
      <c r="V76">
        <v>-40.624899999999997</v>
      </c>
    </row>
    <row r="77" spans="1:22" x14ac:dyDescent="0.35">
      <c r="A77" s="1" t="s">
        <v>83</v>
      </c>
      <c r="B77">
        <v>-79.400000000000006</v>
      </c>
      <c r="C77" t="s">
        <v>83</v>
      </c>
      <c r="D77" s="4">
        <v>-104.04900000000001</v>
      </c>
      <c r="E77" s="4">
        <v>-83.046700000000001</v>
      </c>
      <c r="F77" s="4">
        <v>-92.920299999999997</v>
      </c>
      <c r="G77" s="4">
        <v>-100.4374</v>
      </c>
      <c r="H77" s="4">
        <v>-66.956199999999995</v>
      </c>
      <c r="I77" s="4">
        <v>-95.800299999999993</v>
      </c>
      <c r="J77" s="4">
        <v>-82.295500000000004</v>
      </c>
      <c r="K77" s="4">
        <v>-39.3491</v>
      </c>
      <c r="M77" s="1" t="s">
        <v>47</v>
      </c>
      <c r="N77">
        <v>-72.400000000000006</v>
      </c>
      <c r="O77">
        <v>-110.429</v>
      </c>
      <c r="P77">
        <v>-89.720399999999998</v>
      </c>
      <c r="Q77">
        <v>-101.0916</v>
      </c>
      <c r="R77">
        <v>-79.781199999999998</v>
      </c>
      <c r="S77">
        <v>-71.976299999999995</v>
      </c>
      <c r="T77">
        <v>-103.8873</v>
      </c>
      <c r="U77">
        <v>-87.854799999999997</v>
      </c>
      <c r="V77">
        <v>-41.460700000000003</v>
      </c>
    </row>
    <row r="78" spans="1:22" x14ac:dyDescent="0.35">
      <c r="A78" s="1" t="s">
        <v>84</v>
      </c>
      <c r="B78">
        <v>-52.3</v>
      </c>
      <c r="C78" t="s">
        <v>84</v>
      </c>
      <c r="D78" s="4">
        <v>-76.910899999999998</v>
      </c>
      <c r="E78" s="4">
        <v>-63.108199999999997</v>
      </c>
      <c r="F78" s="4">
        <v>-70.557599999999994</v>
      </c>
      <c r="G78" s="4">
        <v>-71.307299999999998</v>
      </c>
      <c r="H78" s="4">
        <v>-50.691000000000003</v>
      </c>
      <c r="I78" s="4">
        <v>-73.523700000000005</v>
      </c>
      <c r="J78" s="4">
        <v>-61.225000000000001</v>
      </c>
      <c r="K78" s="4">
        <v>-30.6067</v>
      </c>
      <c r="M78" s="1" t="s">
        <v>48</v>
      </c>
      <c r="N78">
        <v>-71.8</v>
      </c>
      <c r="O78">
        <v>-110.2059</v>
      </c>
      <c r="P78">
        <v>-89.285899999999998</v>
      </c>
      <c r="Q78">
        <v>-100.42230000000001</v>
      </c>
      <c r="R78">
        <v>-79.919200000000004</v>
      </c>
      <c r="S78">
        <v>-71.452600000000004</v>
      </c>
      <c r="T78">
        <v>-96.467200000000005</v>
      </c>
      <c r="U78">
        <v>-87.922499999999999</v>
      </c>
      <c r="V78">
        <v>-41.877899999999997</v>
      </c>
    </row>
    <row r="79" spans="1:22" x14ac:dyDescent="0.35">
      <c r="A79" s="1" t="s">
        <v>85</v>
      </c>
      <c r="B79">
        <v>-50.1</v>
      </c>
      <c r="C79" t="s">
        <v>85</v>
      </c>
      <c r="D79" s="4">
        <v>-77.165400000000005</v>
      </c>
      <c r="E79" s="4">
        <v>-63.332799999999999</v>
      </c>
      <c r="F79" s="4">
        <v>-70.769599999999997</v>
      </c>
      <c r="G79" s="4">
        <v>-70.684299999999993</v>
      </c>
      <c r="H79" s="4">
        <v>-51.197499999999998</v>
      </c>
      <c r="I79" s="4">
        <v>-68.991200000000006</v>
      </c>
      <c r="J79" s="4">
        <v>-60.4758</v>
      </c>
      <c r="K79" s="4">
        <v>-29.401399999999999</v>
      </c>
      <c r="M79" s="1" t="s">
        <v>49</v>
      </c>
      <c r="N79">
        <v>-61.8</v>
      </c>
      <c r="O79">
        <v>-91.778300000000002</v>
      </c>
      <c r="P79">
        <v>-71.6708</v>
      </c>
      <c r="Q79">
        <v>-79.556399999999996</v>
      </c>
      <c r="R79">
        <v>-80.332899999999995</v>
      </c>
      <c r="S79">
        <v>-57.744799999999998</v>
      </c>
      <c r="T79">
        <v>-80.711699999999993</v>
      </c>
      <c r="U79">
        <v>-76.459199999999996</v>
      </c>
      <c r="V79">
        <v>-45.208100000000002</v>
      </c>
    </row>
    <row r="80" spans="1:22" x14ac:dyDescent="0.35">
      <c r="A80" s="1" t="s">
        <v>86</v>
      </c>
      <c r="B80">
        <v>-52.5</v>
      </c>
      <c r="C80" t="s">
        <v>86</v>
      </c>
      <c r="D80" s="4">
        <v>-79.662899999999993</v>
      </c>
      <c r="E80" s="4">
        <v>-65.616900000000001</v>
      </c>
      <c r="F80" s="4">
        <v>-73.504199999999997</v>
      </c>
      <c r="G80" s="4">
        <v>-74.338999999999999</v>
      </c>
      <c r="H80" s="4">
        <v>-52.235399999999998</v>
      </c>
      <c r="I80" s="4">
        <v>-72.224599999999995</v>
      </c>
      <c r="J80" s="4">
        <v>-64.218699999999998</v>
      </c>
      <c r="K80" s="4">
        <v>-34.267400000000002</v>
      </c>
      <c r="M80" s="1" t="s">
        <v>50</v>
      </c>
      <c r="N80">
        <v>-67.2</v>
      </c>
      <c r="O80">
        <v>-90.701700000000002</v>
      </c>
      <c r="P80">
        <v>-70.691900000000004</v>
      </c>
      <c r="Q80">
        <v>-78.454700000000003</v>
      </c>
      <c r="R80">
        <v>-115.3321</v>
      </c>
      <c r="S80">
        <v>-56.957299999999996</v>
      </c>
      <c r="T80">
        <v>-80.313699999999997</v>
      </c>
      <c r="U80">
        <v>-75.097800000000007</v>
      </c>
      <c r="V80">
        <v>-43.392200000000003</v>
      </c>
    </row>
    <row r="81" spans="1:22" x14ac:dyDescent="0.35">
      <c r="A81" s="1" t="s">
        <v>87</v>
      </c>
      <c r="B81">
        <v>-49.6</v>
      </c>
      <c r="C81" t="s">
        <v>87</v>
      </c>
      <c r="D81" s="4">
        <v>-78.961399999999998</v>
      </c>
      <c r="E81" s="4">
        <v>-64.957400000000007</v>
      </c>
      <c r="F81" s="4">
        <v>-72.758099999999999</v>
      </c>
      <c r="G81" s="4">
        <v>-74.393100000000004</v>
      </c>
      <c r="H81" s="4">
        <v>-52.0486</v>
      </c>
      <c r="I81" s="4">
        <v>-70.264600000000002</v>
      </c>
      <c r="J81" s="4">
        <v>-65.129499999999993</v>
      </c>
      <c r="K81" s="4">
        <v>-33.975200000000001</v>
      </c>
      <c r="M81" s="1" t="s">
        <v>51</v>
      </c>
      <c r="N81">
        <v>-65.400000000000006</v>
      </c>
      <c r="O81">
        <v>-91.011600000000001</v>
      </c>
      <c r="P81">
        <v>-71.042699999999996</v>
      </c>
      <c r="Q81">
        <v>-78.858000000000004</v>
      </c>
      <c r="R81">
        <v>-113.99209999999999</v>
      </c>
      <c r="S81">
        <v>-57.3001</v>
      </c>
      <c r="T81">
        <v>-80.6785</v>
      </c>
      <c r="U81">
        <v>-75.237899999999996</v>
      </c>
      <c r="V81">
        <v>-44.454300000000003</v>
      </c>
    </row>
    <row r="82" spans="1:22" x14ac:dyDescent="0.35">
      <c r="A82" s="1" t="s">
        <v>88</v>
      </c>
      <c r="B82">
        <v>-88.5</v>
      </c>
      <c r="C82" t="s">
        <v>88</v>
      </c>
      <c r="D82" s="4">
        <v>-112.9709</v>
      </c>
      <c r="E82" s="4">
        <v>-89.838300000000004</v>
      </c>
      <c r="F82" s="4">
        <v>-99.843299999999999</v>
      </c>
      <c r="G82" s="4">
        <v>-109.80840000000001</v>
      </c>
      <c r="H82" s="4">
        <v>-73.954400000000007</v>
      </c>
      <c r="I82" s="4">
        <v>-103.21129999999999</v>
      </c>
      <c r="J82" s="4">
        <v>-87.927800000000005</v>
      </c>
      <c r="K82" s="4">
        <v>-38.860799999999998</v>
      </c>
      <c r="M82" s="1" t="s">
        <v>52</v>
      </c>
      <c r="N82">
        <v>-66.400000000000006</v>
      </c>
      <c r="O82">
        <v>-91.813000000000002</v>
      </c>
      <c r="P82">
        <v>-71.966999999999999</v>
      </c>
      <c r="Q82">
        <v>-80.1584</v>
      </c>
      <c r="R82">
        <v>-114.7226</v>
      </c>
      <c r="S82">
        <v>-58.099400000000003</v>
      </c>
      <c r="T82">
        <v>-85.5702</v>
      </c>
      <c r="U82">
        <v>-76.551599999999993</v>
      </c>
      <c r="V82">
        <v>-43.752899999999997</v>
      </c>
    </row>
    <row r="83" spans="1:22" x14ac:dyDescent="0.35">
      <c r="A83" s="1" t="s">
        <v>89</v>
      </c>
      <c r="B83">
        <v>-89.3</v>
      </c>
      <c r="C83" t="s">
        <v>89</v>
      </c>
      <c r="D83" s="4">
        <v>-113.16719999999999</v>
      </c>
      <c r="E83" s="4">
        <v>-89.252099999999999</v>
      </c>
      <c r="F83" s="4">
        <v>-98.694699999999997</v>
      </c>
      <c r="G83" s="4">
        <v>-109.2043</v>
      </c>
      <c r="H83" s="4">
        <v>-74.307299999999998</v>
      </c>
      <c r="I83" s="4">
        <v>-104.9644</v>
      </c>
      <c r="J83" s="4">
        <v>-86.994500000000002</v>
      </c>
      <c r="K83" s="4">
        <v>-36.0625</v>
      </c>
      <c r="M83" s="1" t="s">
        <v>53</v>
      </c>
      <c r="N83">
        <v>-48.1</v>
      </c>
      <c r="O83">
        <v>-91.407600000000002</v>
      </c>
      <c r="P83">
        <v>-75.270700000000005</v>
      </c>
      <c r="Q83">
        <v>-84.989900000000006</v>
      </c>
      <c r="R83">
        <v>-113.2274</v>
      </c>
      <c r="S83">
        <v>-61.296399999999998</v>
      </c>
      <c r="T83">
        <v>-84.187899999999999</v>
      </c>
      <c r="U83">
        <v>-76.520600000000002</v>
      </c>
      <c r="V83">
        <v>-45.503300000000003</v>
      </c>
    </row>
    <row r="84" spans="1:22" x14ac:dyDescent="0.35">
      <c r="A84" s="1" t="s">
        <v>90</v>
      </c>
      <c r="B84">
        <v>-89.4</v>
      </c>
      <c r="C84" t="s">
        <v>90</v>
      </c>
      <c r="D84" s="4">
        <v>-115.1429</v>
      </c>
      <c r="E84" s="4">
        <v>-91.673400000000001</v>
      </c>
      <c r="F84" s="4">
        <v>-101.8964</v>
      </c>
      <c r="G84" s="4">
        <v>-110.8518</v>
      </c>
      <c r="H84" s="4">
        <v>-75.152799999999999</v>
      </c>
      <c r="I84" s="4">
        <v>-108.6711</v>
      </c>
      <c r="J84" s="4">
        <v>-89.231499999999997</v>
      </c>
      <c r="K84" s="4">
        <v>-40.680399999999999</v>
      </c>
      <c r="M84" s="1" t="s">
        <v>54</v>
      </c>
      <c r="N84">
        <v>-53.7</v>
      </c>
      <c r="O84">
        <v>-90.910700000000006</v>
      </c>
      <c r="P84">
        <v>-74.695800000000006</v>
      </c>
      <c r="Q84">
        <v>-84.414000000000001</v>
      </c>
      <c r="R84">
        <v>-83.748800000000003</v>
      </c>
      <c r="S84">
        <v>-60.497900000000001</v>
      </c>
      <c r="T84">
        <v>-78.867199999999997</v>
      </c>
      <c r="U84">
        <v>-76.893900000000002</v>
      </c>
      <c r="V84">
        <v>-43.682499999999997</v>
      </c>
    </row>
    <row r="85" spans="1:22" x14ac:dyDescent="0.35">
      <c r="A85" s="1" t="s">
        <v>91</v>
      </c>
      <c r="B85">
        <v>-89.8</v>
      </c>
      <c r="C85" t="s">
        <v>91</v>
      </c>
      <c r="D85" s="4">
        <v>-114.5257</v>
      </c>
      <c r="E85" s="4">
        <v>-91.119900000000001</v>
      </c>
      <c r="F85" s="4">
        <v>-101.63160000000001</v>
      </c>
      <c r="G85" s="4">
        <v>-110.54940000000001</v>
      </c>
      <c r="H85" s="4">
        <v>-73.891000000000005</v>
      </c>
      <c r="I85" s="4">
        <v>-104.88079999999999</v>
      </c>
      <c r="J85" s="4">
        <v>-88.485500000000002</v>
      </c>
      <c r="K85" s="4">
        <v>-40.707599999999999</v>
      </c>
      <c r="M85" s="1" t="s">
        <v>55</v>
      </c>
      <c r="N85">
        <v>-53.5</v>
      </c>
      <c r="O85">
        <v>-92.293099999999995</v>
      </c>
      <c r="P85">
        <v>-76.075800000000001</v>
      </c>
      <c r="Q85">
        <v>-85.793599999999998</v>
      </c>
      <c r="R85">
        <v>-81.552099999999996</v>
      </c>
      <c r="S85">
        <v>-62.1098</v>
      </c>
      <c r="T85">
        <v>-83.001800000000003</v>
      </c>
      <c r="U85">
        <v>-77.980999999999995</v>
      </c>
      <c r="V85">
        <v>-45.530900000000003</v>
      </c>
    </row>
    <row r="86" spans="1:22" x14ac:dyDescent="0.35">
      <c r="A86" s="1" t="s">
        <v>92</v>
      </c>
      <c r="B86">
        <v>-59.5</v>
      </c>
      <c r="C86" t="s">
        <v>92</v>
      </c>
      <c r="D86" s="4">
        <v>-80.657200000000003</v>
      </c>
      <c r="E86" s="4">
        <v>-66.421700000000001</v>
      </c>
      <c r="F86" s="4">
        <v>-74.857799999999997</v>
      </c>
      <c r="G86" s="4">
        <v>-75.9422</v>
      </c>
      <c r="H86" s="4">
        <v>-52.784100000000002</v>
      </c>
      <c r="I86" s="4">
        <v>-69.756900000000002</v>
      </c>
      <c r="J86" s="4">
        <v>-67.939499999999995</v>
      </c>
      <c r="K86" s="4">
        <v>-37.674999999999997</v>
      </c>
      <c r="M86" s="1" t="s">
        <v>56</v>
      </c>
      <c r="N86">
        <v>-69</v>
      </c>
      <c r="O86">
        <v>-99.9255</v>
      </c>
      <c r="P86">
        <v>-78.670400000000001</v>
      </c>
      <c r="Q86">
        <v>-87.754800000000003</v>
      </c>
      <c r="R86">
        <v>-82.822500000000005</v>
      </c>
      <c r="S86">
        <v>-63.8095</v>
      </c>
      <c r="T86">
        <v>-93.250799999999998</v>
      </c>
      <c r="U86">
        <v>-78.547700000000006</v>
      </c>
      <c r="V86">
        <v>-44.206200000000003</v>
      </c>
    </row>
    <row r="87" spans="1:22" x14ac:dyDescent="0.35">
      <c r="A87" s="1" t="s">
        <v>93</v>
      </c>
      <c r="B87">
        <v>-66.5</v>
      </c>
      <c r="C87" t="s">
        <v>93</v>
      </c>
      <c r="D87" s="4">
        <v>-80.0505</v>
      </c>
      <c r="E87" s="4">
        <v>-65.924400000000006</v>
      </c>
      <c r="F87" s="4">
        <v>-74.375500000000002</v>
      </c>
      <c r="G87" s="4">
        <v>-77.255600000000001</v>
      </c>
      <c r="H87" s="4">
        <v>-51.843400000000003</v>
      </c>
      <c r="I87" s="4">
        <v>-71.353399999999993</v>
      </c>
      <c r="J87" s="4">
        <v>-68.062700000000007</v>
      </c>
      <c r="K87" s="4">
        <v>-38.183700000000002</v>
      </c>
      <c r="M87" s="1" t="s">
        <v>57</v>
      </c>
      <c r="N87">
        <v>-66.8</v>
      </c>
      <c r="O87">
        <v>-101.3621</v>
      </c>
      <c r="P87">
        <v>-79.919399999999996</v>
      </c>
      <c r="Q87">
        <v>-89.022800000000004</v>
      </c>
      <c r="R87">
        <v>-81.602400000000003</v>
      </c>
      <c r="S87">
        <v>-64.567499999999995</v>
      </c>
      <c r="T87">
        <v>-90.351200000000006</v>
      </c>
      <c r="U87">
        <v>-80.609099999999998</v>
      </c>
      <c r="V87">
        <v>-52.807200000000002</v>
      </c>
    </row>
    <row r="88" spans="1:22" x14ac:dyDescent="0.35">
      <c r="A88" s="1" t="s">
        <v>94</v>
      </c>
      <c r="B88">
        <v>-58.9</v>
      </c>
      <c r="C88" t="s">
        <v>94</v>
      </c>
      <c r="D88" s="4">
        <v>-80.826999999999998</v>
      </c>
      <c r="E88" s="4">
        <v>-66.598299999999995</v>
      </c>
      <c r="F88" s="4">
        <v>-75.052199999999999</v>
      </c>
      <c r="G88" s="4">
        <v>-77.562799999999996</v>
      </c>
      <c r="H88" s="4">
        <v>-52.935499999999998</v>
      </c>
      <c r="I88" s="4">
        <v>-71.3001</v>
      </c>
      <c r="J88" s="4">
        <v>-68.746399999999994</v>
      </c>
      <c r="K88" s="4">
        <v>-39.247399999999999</v>
      </c>
      <c r="M88" s="1" t="s">
        <v>58</v>
      </c>
      <c r="N88">
        <v>-67.099999999999994</v>
      </c>
      <c r="O88">
        <v>-100.4335</v>
      </c>
      <c r="P88">
        <v>-79.271900000000002</v>
      </c>
      <c r="Q88">
        <v>-88.376400000000004</v>
      </c>
      <c r="R88">
        <v>-106.0673</v>
      </c>
      <c r="S88">
        <v>-64.244399999999999</v>
      </c>
      <c r="T88">
        <v>-88.819699999999997</v>
      </c>
      <c r="U88">
        <v>-80.441500000000005</v>
      </c>
      <c r="V88">
        <v>-52.818800000000003</v>
      </c>
    </row>
    <row r="89" spans="1:22" x14ac:dyDescent="0.35">
      <c r="A89" s="1" t="s">
        <v>95</v>
      </c>
      <c r="B89">
        <v>-64.400000000000006</v>
      </c>
      <c r="C89" t="s">
        <v>95</v>
      </c>
      <c r="D89" s="4">
        <v>-79.411500000000004</v>
      </c>
      <c r="E89" s="4">
        <v>-65.301900000000003</v>
      </c>
      <c r="F89" s="4">
        <v>-73.601500000000001</v>
      </c>
      <c r="G89" s="4">
        <v>-75.448800000000006</v>
      </c>
      <c r="H89" s="4">
        <v>-52.344900000000003</v>
      </c>
      <c r="I89" s="4">
        <v>-69.139600000000002</v>
      </c>
      <c r="J89" s="4">
        <v>-66.822000000000003</v>
      </c>
      <c r="K89" s="4">
        <v>-36.523699999999998</v>
      </c>
      <c r="M89" s="1" t="s">
        <v>59</v>
      </c>
      <c r="N89">
        <v>-66</v>
      </c>
      <c r="O89">
        <v>-99.0869</v>
      </c>
      <c r="P89">
        <v>-77.842799999999997</v>
      </c>
      <c r="Q89">
        <v>-86.458600000000004</v>
      </c>
      <c r="R89">
        <v>-105.51090000000001</v>
      </c>
      <c r="S89">
        <v>-63.184600000000003</v>
      </c>
      <c r="T89">
        <v>-88.555099999999996</v>
      </c>
      <c r="U89">
        <v>-78.897300000000001</v>
      </c>
      <c r="V89">
        <v>-52.2746</v>
      </c>
    </row>
    <row r="90" spans="1:22" x14ac:dyDescent="0.35">
      <c r="A90" s="1" t="s">
        <v>96</v>
      </c>
      <c r="B90">
        <v>-71.900000000000006</v>
      </c>
      <c r="C90" t="s">
        <v>96</v>
      </c>
      <c r="D90" s="4">
        <v>-107.7646</v>
      </c>
      <c r="E90" s="4">
        <v>-88.6571</v>
      </c>
      <c r="F90" s="4">
        <v>-99.428799999999995</v>
      </c>
      <c r="G90" s="4">
        <v>-104.98399999999999</v>
      </c>
      <c r="H90" s="4">
        <v>-71.683199999999999</v>
      </c>
      <c r="I90" s="4">
        <v>-95.587100000000007</v>
      </c>
      <c r="J90" s="4">
        <v>-89.986400000000003</v>
      </c>
      <c r="K90" s="4">
        <v>-52.1158</v>
      </c>
      <c r="M90" s="1" t="s">
        <v>60</v>
      </c>
      <c r="N90">
        <v>-72.3</v>
      </c>
      <c r="O90">
        <v>-100.6786</v>
      </c>
      <c r="P90">
        <v>-79.527100000000004</v>
      </c>
      <c r="Q90">
        <v>-88.444500000000005</v>
      </c>
      <c r="R90">
        <v>-105.465</v>
      </c>
      <c r="S90">
        <v>-64.679699999999997</v>
      </c>
      <c r="T90">
        <v>-90.078699999999998</v>
      </c>
      <c r="U90">
        <v>-81.153000000000006</v>
      </c>
      <c r="V90">
        <v>-35.906799999999997</v>
      </c>
    </row>
    <row r="91" spans="1:22" x14ac:dyDescent="0.35">
      <c r="A91" s="1" t="s">
        <v>97</v>
      </c>
      <c r="B91">
        <v>-76.5</v>
      </c>
      <c r="C91" t="s">
        <v>97</v>
      </c>
      <c r="D91" s="4">
        <v>-106.07599999999999</v>
      </c>
      <c r="E91" s="4">
        <v>-87.182699999999997</v>
      </c>
      <c r="F91" s="4">
        <v>-97.729299999999995</v>
      </c>
      <c r="G91" s="4">
        <v>-102.24209999999999</v>
      </c>
      <c r="H91" s="4">
        <v>-70.763000000000005</v>
      </c>
      <c r="I91" s="4">
        <v>-99.886200000000002</v>
      </c>
      <c r="J91" s="4">
        <v>-87.724100000000007</v>
      </c>
      <c r="K91" s="4">
        <v>-49.706299999999999</v>
      </c>
      <c r="M91" s="1" t="s">
        <v>99</v>
      </c>
      <c r="N91">
        <v>-69.2</v>
      </c>
      <c r="O91">
        <v>-102.5029</v>
      </c>
      <c r="P91">
        <v>-80.837000000000003</v>
      </c>
      <c r="Q91">
        <v>-89.588399999999993</v>
      </c>
      <c r="R91">
        <v>-100.2817</v>
      </c>
      <c r="S91">
        <v>-65.935599999999994</v>
      </c>
      <c r="T91">
        <v>-94.667100000000005</v>
      </c>
      <c r="U91">
        <v>-80.382300000000001</v>
      </c>
      <c r="V91">
        <v>-34.622799999999998</v>
      </c>
    </row>
    <row r="92" spans="1:22" x14ac:dyDescent="0.35">
      <c r="A92" s="1" t="s">
        <v>98</v>
      </c>
      <c r="B92">
        <v>-70.7</v>
      </c>
      <c r="C92" t="s">
        <v>98</v>
      </c>
      <c r="D92" s="4">
        <v>-107.1568</v>
      </c>
      <c r="E92" s="4">
        <v>-87.887100000000004</v>
      </c>
      <c r="F92" s="4">
        <v>-98.591200000000001</v>
      </c>
      <c r="G92" s="4">
        <v>-104.5628</v>
      </c>
      <c r="H92" s="4">
        <v>-71.180099999999996</v>
      </c>
      <c r="I92" s="4">
        <v>-98.712599999999995</v>
      </c>
      <c r="J92" s="4">
        <v>-88.923100000000005</v>
      </c>
      <c r="K92" s="4">
        <v>-51.656199999999998</v>
      </c>
      <c r="M92" s="1" t="s">
        <v>100</v>
      </c>
      <c r="N92">
        <v>-63.7</v>
      </c>
      <c r="O92">
        <v>-100.1418</v>
      </c>
      <c r="P92">
        <v>-78.6922</v>
      </c>
      <c r="Q92">
        <v>-87.492699999999999</v>
      </c>
      <c r="R92">
        <v>-96.872799999999998</v>
      </c>
      <c r="S92">
        <v>-63.974699999999999</v>
      </c>
      <c r="T92">
        <v>-94.145099999999999</v>
      </c>
      <c r="U92">
        <v>-78.674599999999998</v>
      </c>
      <c r="V92">
        <v>-33.007199999999997</v>
      </c>
    </row>
    <row r="93" spans="1:22" x14ac:dyDescent="0.35">
      <c r="A93" s="1" t="s">
        <v>99</v>
      </c>
      <c r="B93">
        <v>-69.2</v>
      </c>
      <c r="C93" t="s">
        <v>99</v>
      </c>
      <c r="D93" s="4">
        <v>-99.053200000000004</v>
      </c>
      <c r="E93" s="4">
        <v>-78.037099999999995</v>
      </c>
      <c r="F93" s="4">
        <v>-86.385099999999994</v>
      </c>
      <c r="G93" s="4">
        <v>-95.131399999999999</v>
      </c>
      <c r="H93" s="4">
        <v>-63.894100000000002</v>
      </c>
      <c r="I93" s="4">
        <v>-92.558300000000003</v>
      </c>
      <c r="J93" s="4">
        <v>-76.655199999999994</v>
      </c>
      <c r="K93" s="4">
        <v>-32.171799999999998</v>
      </c>
      <c r="M93" s="1" t="s">
        <v>101</v>
      </c>
      <c r="N93">
        <v>-63.6</v>
      </c>
      <c r="O93">
        <v>-100.1074</v>
      </c>
      <c r="P93">
        <v>-78.779899999999998</v>
      </c>
      <c r="Q93">
        <v>-87.652900000000002</v>
      </c>
      <c r="R93">
        <v>-96.495500000000007</v>
      </c>
      <c r="S93">
        <v>-64.060699999999997</v>
      </c>
      <c r="T93">
        <v>-93.953999999999994</v>
      </c>
      <c r="U93">
        <v>-77.285700000000006</v>
      </c>
      <c r="V93">
        <v>-47.415700000000001</v>
      </c>
    </row>
    <row r="94" spans="1:22" x14ac:dyDescent="0.35">
      <c r="A94" s="1" t="s">
        <v>100</v>
      </c>
      <c r="B94">
        <v>-63.7</v>
      </c>
      <c r="C94" t="s">
        <v>100</v>
      </c>
      <c r="D94" s="4">
        <v>-95.973299999999995</v>
      </c>
      <c r="E94" s="4">
        <v>-75.1297</v>
      </c>
      <c r="F94" s="4">
        <v>-83.421000000000006</v>
      </c>
      <c r="G94" s="4">
        <v>-91.390799999999999</v>
      </c>
      <c r="H94" s="4">
        <v>-61.781399999999998</v>
      </c>
      <c r="I94" s="4">
        <v>-86.577600000000004</v>
      </c>
      <c r="J94" s="4">
        <v>-73.460300000000004</v>
      </c>
      <c r="K94" s="4">
        <v>-29.044899999999998</v>
      </c>
      <c r="M94" s="1" t="s">
        <v>102</v>
      </c>
      <c r="N94">
        <v>-77</v>
      </c>
      <c r="O94">
        <v>-110.79040000000001</v>
      </c>
      <c r="P94">
        <v>-89.530699999999996</v>
      </c>
      <c r="Q94">
        <v>-100.75409999999999</v>
      </c>
      <c r="R94">
        <v>-107.96380000000001</v>
      </c>
      <c r="S94">
        <v>-72.052800000000005</v>
      </c>
      <c r="T94">
        <v>-105.3031</v>
      </c>
      <c r="U94">
        <v>-89.842299999999994</v>
      </c>
      <c r="V94">
        <v>-45.857199999999999</v>
      </c>
    </row>
    <row r="95" spans="1:22" x14ac:dyDescent="0.35">
      <c r="A95" s="1" t="s">
        <v>101</v>
      </c>
      <c r="B95">
        <v>-63.6</v>
      </c>
      <c r="C95" t="s">
        <v>101</v>
      </c>
      <c r="D95" s="4">
        <v>-95.514399999999995</v>
      </c>
      <c r="E95" s="4">
        <v>-74.678299999999993</v>
      </c>
      <c r="F95" s="4">
        <v>-82.610900000000001</v>
      </c>
      <c r="G95" s="4">
        <v>-90.605099999999993</v>
      </c>
      <c r="H95" s="4">
        <v>-61.716299999999997</v>
      </c>
      <c r="I95" s="4">
        <v>-90.968599999999995</v>
      </c>
      <c r="J95" s="4">
        <v>-72.198300000000003</v>
      </c>
      <c r="K95" s="4">
        <v>-26.710999999999999</v>
      </c>
      <c r="M95" s="1" t="s">
        <v>103</v>
      </c>
      <c r="N95">
        <v>-78.099999999999994</v>
      </c>
      <c r="O95">
        <v>-109.8753</v>
      </c>
      <c r="P95">
        <v>-88.561800000000005</v>
      </c>
      <c r="Q95">
        <v>-99.520899999999997</v>
      </c>
      <c r="R95">
        <v>-106.47369999999999</v>
      </c>
      <c r="S95">
        <v>-70.913899999999998</v>
      </c>
      <c r="T95">
        <v>-99.113200000000006</v>
      </c>
      <c r="U95">
        <v>-88.6982</v>
      </c>
      <c r="V95">
        <v>-45.538499999999999</v>
      </c>
    </row>
    <row r="96" spans="1:22" x14ac:dyDescent="0.35">
      <c r="A96" s="1" t="s">
        <v>102</v>
      </c>
      <c r="B96">
        <v>-77</v>
      </c>
      <c r="C96" t="s">
        <v>102</v>
      </c>
      <c r="D96" s="4">
        <v>-105.8708</v>
      </c>
      <c r="E96" s="4">
        <v>-85.506100000000004</v>
      </c>
      <c r="F96" s="4">
        <v>-96.095100000000002</v>
      </c>
      <c r="G96" s="4">
        <v>-102.3387</v>
      </c>
      <c r="H96" s="4">
        <v>-68.865399999999994</v>
      </c>
      <c r="I96" s="4">
        <v>-100.8224</v>
      </c>
      <c r="J96" s="4">
        <v>-83.788600000000002</v>
      </c>
      <c r="K96" s="4">
        <v>-40.203600000000002</v>
      </c>
      <c r="M96" s="1" t="s">
        <v>104</v>
      </c>
      <c r="N96">
        <v>-73.400000000000006</v>
      </c>
      <c r="O96">
        <v>-110.3429</v>
      </c>
      <c r="P96">
        <v>-89.157899999999998</v>
      </c>
      <c r="Q96">
        <v>-100.3229</v>
      </c>
      <c r="R96">
        <v>-107.30549999999999</v>
      </c>
      <c r="S96">
        <v>-71.482299999999995</v>
      </c>
      <c r="T96">
        <v>-100.43859999999999</v>
      </c>
      <c r="U96">
        <v>-88.595600000000005</v>
      </c>
      <c r="V96">
        <v>-53.987099999999998</v>
      </c>
    </row>
    <row r="97" spans="1:22" x14ac:dyDescent="0.35">
      <c r="A97" s="1" t="s">
        <v>103</v>
      </c>
      <c r="B97">
        <v>-78.099999999999994</v>
      </c>
      <c r="C97" t="s">
        <v>103</v>
      </c>
      <c r="D97" s="4">
        <v>-103.3165</v>
      </c>
      <c r="E97" s="4">
        <v>-82.856899999999996</v>
      </c>
      <c r="F97" s="4">
        <v>-93.066000000000003</v>
      </c>
      <c r="G97" s="4">
        <v>-99.3108</v>
      </c>
      <c r="H97" s="4">
        <v>-66.029799999999994</v>
      </c>
      <c r="I97" s="4">
        <v>-93.877700000000004</v>
      </c>
      <c r="J97" s="4">
        <v>-81.461500000000001</v>
      </c>
      <c r="K97" s="4">
        <v>-37.561900000000001</v>
      </c>
      <c r="M97" s="1" t="s">
        <v>105</v>
      </c>
      <c r="N97">
        <v>-87.6</v>
      </c>
      <c r="O97">
        <v>-120.4825</v>
      </c>
      <c r="P97">
        <v>-98.138400000000004</v>
      </c>
      <c r="Q97">
        <v>-110.20399999999999</v>
      </c>
      <c r="R97">
        <v>-115.4007</v>
      </c>
      <c r="S97">
        <v>-78.814499999999995</v>
      </c>
      <c r="T97">
        <v>-109.7488</v>
      </c>
      <c r="U97">
        <v>-97.200400000000002</v>
      </c>
      <c r="V97">
        <v>-43.277000000000001</v>
      </c>
    </row>
    <row r="98" spans="1:22" x14ac:dyDescent="0.35">
      <c r="A98" s="1" t="s">
        <v>104</v>
      </c>
      <c r="B98">
        <v>-73.400000000000006</v>
      </c>
      <c r="C98" t="s">
        <v>104</v>
      </c>
      <c r="D98" s="4">
        <v>-102.72320000000001</v>
      </c>
      <c r="E98" s="4">
        <v>-82.372</v>
      </c>
      <c r="F98" s="4">
        <v>-92.499200000000002</v>
      </c>
      <c r="G98" s="4">
        <v>-98.932599999999994</v>
      </c>
      <c r="H98" s="4">
        <v>-66.124200000000002</v>
      </c>
      <c r="I98" s="4">
        <v>-95.623599999999996</v>
      </c>
      <c r="J98" s="4">
        <v>-80.389200000000002</v>
      </c>
      <c r="K98" s="4">
        <v>-35.291699999999999</v>
      </c>
      <c r="M98" s="1" t="s">
        <v>106</v>
      </c>
      <c r="N98">
        <v>-87.9</v>
      </c>
      <c r="O98">
        <v>-110.9537</v>
      </c>
      <c r="P98">
        <v>-88.928299999999993</v>
      </c>
      <c r="Q98">
        <v>-100.6516</v>
      </c>
      <c r="R98">
        <v>-105.6451</v>
      </c>
      <c r="S98">
        <v>-70.033100000000005</v>
      </c>
      <c r="T98">
        <v>-102.7521</v>
      </c>
      <c r="U98">
        <v>-86.886300000000006</v>
      </c>
      <c r="V98">
        <v>-54.0595</v>
      </c>
    </row>
    <row r="99" spans="1:22" x14ac:dyDescent="0.35">
      <c r="A99" s="1" t="s">
        <v>105</v>
      </c>
      <c r="B99">
        <v>-87.6</v>
      </c>
      <c r="C99" t="s">
        <v>105</v>
      </c>
      <c r="D99" s="4">
        <v>-112.76090000000001</v>
      </c>
      <c r="E99" s="4">
        <v>-91.745599999999996</v>
      </c>
      <c r="F99" s="4">
        <v>-103.0294</v>
      </c>
      <c r="G99" s="4">
        <v>-106.5141</v>
      </c>
      <c r="H99" s="4">
        <v>-73.543300000000002</v>
      </c>
      <c r="I99" s="4">
        <v>-101.75190000000001</v>
      </c>
      <c r="J99" s="4">
        <v>-88.807000000000002</v>
      </c>
      <c r="K99" s="4">
        <v>-45.915700000000001</v>
      </c>
      <c r="M99" s="1" t="s">
        <v>107</v>
      </c>
      <c r="N99">
        <v>-87.1</v>
      </c>
      <c r="O99">
        <v>-120.51179999999999</v>
      </c>
      <c r="P99">
        <v>-98.404899999999998</v>
      </c>
      <c r="Q99">
        <v>-110.69289999999999</v>
      </c>
      <c r="R99">
        <v>-116.3455</v>
      </c>
      <c r="S99">
        <v>-78.653099999999995</v>
      </c>
      <c r="T99">
        <v>-109.8946</v>
      </c>
      <c r="U99">
        <v>-97.366900000000001</v>
      </c>
      <c r="V99">
        <v>-40.226399999999998</v>
      </c>
    </row>
    <row r="100" spans="1:22" x14ac:dyDescent="0.35">
      <c r="A100" s="1" t="s">
        <v>106</v>
      </c>
      <c r="B100">
        <v>-87.9</v>
      </c>
      <c r="C100" t="s">
        <v>106</v>
      </c>
      <c r="D100" s="4">
        <v>-109.5356</v>
      </c>
      <c r="E100" s="4">
        <v>-88.667500000000004</v>
      </c>
      <c r="F100" s="4">
        <v>-100.5014</v>
      </c>
      <c r="G100" s="4">
        <v>-101.7495</v>
      </c>
      <c r="H100" s="4">
        <v>-71.301400000000001</v>
      </c>
      <c r="I100" s="4">
        <v>-100.9486</v>
      </c>
      <c r="J100" s="4">
        <v>-82.7697</v>
      </c>
      <c r="K100" s="4">
        <v>-36.789700000000003</v>
      </c>
      <c r="M100" s="1" t="s">
        <v>120</v>
      </c>
      <c r="N100">
        <v>-69.5</v>
      </c>
      <c r="O100">
        <v>-104.7433</v>
      </c>
      <c r="P100">
        <v>-83.367999999999995</v>
      </c>
      <c r="Q100">
        <v>-93.590699999999998</v>
      </c>
      <c r="R100">
        <v>-101.80719999999999</v>
      </c>
      <c r="S100">
        <v>-67.697400000000002</v>
      </c>
      <c r="T100">
        <v>-94.918899999999994</v>
      </c>
      <c r="U100">
        <v>-83.629599999999996</v>
      </c>
      <c r="V100">
        <v>-40.694400000000002</v>
      </c>
    </row>
    <row r="101" spans="1:22" x14ac:dyDescent="0.35">
      <c r="A101" s="1" t="s">
        <v>107</v>
      </c>
      <c r="B101">
        <v>-87.1</v>
      </c>
      <c r="C101" t="s">
        <v>107</v>
      </c>
      <c r="D101" s="4">
        <v>-111.89149999999999</v>
      </c>
      <c r="E101" s="4">
        <v>-91.293700000000001</v>
      </c>
      <c r="F101" s="4">
        <v>-102.7298</v>
      </c>
      <c r="G101" s="4">
        <v>-104.3443</v>
      </c>
      <c r="H101" s="4">
        <v>-72.410399999999996</v>
      </c>
      <c r="I101" s="4">
        <v>-102.31100000000001</v>
      </c>
      <c r="J101" s="4">
        <v>-87.649199999999993</v>
      </c>
      <c r="K101" s="4">
        <v>-44.580399999999997</v>
      </c>
      <c r="M101" s="1" t="s">
        <v>121</v>
      </c>
      <c r="N101">
        <v>-69.2</v>
      </c>
      <c r="O101">
        <v>-104.6019</v>
      </c>
      <c r="P101">
        <v>-83.270399999999995</v>
      </c>
      <c r="Q101">
        <v>-93.361000000000004</v>
      </c>
      <c r="R101">
        <v>-100.70269999999999</v>
      </c>
      <c r="S101">
        <v>-67.843900000000005</v>
      </c>
      <c r="T101">
        <v>-94.185000000000002</v>
      </c>
      <c r="U101">
        <v>-83.777199999999993</v>
      </c>
      <c r="V101">
        <v>-40.2729</v>
      </c>
    </row>
    <row r="102" spans="1:22" x14ac:dyDescent="0.35">
      <c r="A102" s="1" t="s">
        <v>108</v>
      </c>
      <c r="B102">
        <v>-124.6</v>
      </c>
      <c r="C102" t="s">
        <v>108</v>
      </c>
      <c r="D102" s="4">
        <v>-183.24430000000001</v>
      </c>
      <c r="E102" s="4">
        <v>-145.13339999999999</v>
      </c>
      <c r="F102" s="4">
        <v>-162.61330000000001</v>
      </c>
      <c r="G102" s="4">
        <v>-177.03370000000001</v>
      </c>
      <c r="H102" s="4">
        <v>-118.8586</v>
      </c>
      <c r="I102" s="4">
        <v>-177.8794</v>
      </c>
      <c r="J102" s="4">
        <v>-121.34690000000001</v>
      </c>
      <c r="K102" s="4">
        <v>-38.907800000000002</v>
      </c>
      <c r="M102" s="1" t="s">
        <v>122</v>
      </c>
      <c r="N102">
        <v>-74.900000000000006</v>
      </c>
      <c r="O102">
        <v>-105.7633</v>
      </c>
      <c r="P102">
        <v>-84.344300000000004</v>
      </c>
      <c r="Q102">
        <v>-94.674999999999997</v>
      </c>
      <c r="R102">
        <v>-102.6973</v>
      </c>
      <c r="S102">
        <v>-68.598200000000006</v>
      </c>
      <c r="T102">
        <v>-99.669399999999996</v>
      </c>
      <c r="U102">
        <v>-84.290999999999997</v>
      </c>
      <c r="V102">
        <v>-46.097000000000001</v>
      </c>
    </row>
    <row r="103" spans="1:22" x14ac:dyDescent="0.35">
      <c r="A103" s="1" t="s">
        <v>109</v>
      </c>
      <c r="B103">
        <v>-129.5</v>
      </c>
      <c r="C103" t="s">
        <v>109</v>
      </c>
      <c r="D103" s="4">
        <v>-183.4743</v>
      </c>
      <c r="E103" s="4">
        <v>-145.14920000000001</v>
      </c>
      <c r="F103" s="4">
        <v>-162.5215</v>
      </c>
      <c r="G103" s="4">
        <v>-176.24029999999999</v>
      </c>
      <c r="H103" s="4">
        <v>-118.9633</v>
      </c>
      <c r="I103" s="4">
        <v>-175.7953</v>
      </c>
      <c r="J103" s="4">
        <v>-121.4348</v>
      </c>
      <c r="K103" s="4">
        <v>-37.942799999999998</v>
      </c>
      <c r="M103" s="1" t="s">
        <v>123</v>
      </c>
      <c r="N103">
        <v>-75.900000000000006</v>
      </c>
      <c r="O103">
        <v>-109.0068</v>
      </c>
      <c r="P103">
        <v>-87.962699999999998</v>
      </c>
      <c r="Q103">
        <v>-98.816000000000003</v>
      </c>
      <c r="R103">
        <v>-105.3985</v>
      </c>
      <c r="S103">
        <v>-70.312100000000001</v>
      </c>
      <c r="T103">
        <v>-96.495599999999996</v>
      </c>
      <c r="U103">
        <v>-88.596999999999994</v>
      </c>
      <c r="V103">
        <v>-47.887900000000002</v>
      </c>
    </row>
    <row r="104" spans="1:22" x14ac:dyDescent="0.35">
      <c r="A104" s="1" t="s">
        <v>110</v>
      </c>
      <c r="B104">
        <v>-117.6</v>
      </c>
      <c r="C104" t="s">
        <v>110</v>
      </c>
      <c r="D104" s="4">
        <v>-184.96340000000001</v>
      </c>
      <c r="E104" s="4">
        <v>-146.6908</v>
      </c>
      <c r="F104" s="4">
        <v>-164.45689999999999</v>
      </c>
      <c r="G104" s="4">
        <v>-178.3057</v>
      </c>
      <c r="H104" s="4">
        <v>-120.313</v>
      </c>
      <c r="I104" s="4">
        <v>-174.25800000000001</v>
      </c>
      <c r="J104" s="4">
        <v>-123.2949</v>
      </c>
      <c r="K104" s="4">
        <v>-39.993299999999998</v>
      </c>
      <c r="M104" s="1" t="s">
        <v>124</v>
      </c>
      <c r="N104">
        <v>-73.400000000000006</v>
      </c>
      <c r="O104">
        <v>-109.3459</v>
      </c>
      <c r="P104">
        <v>-88.467600000000004</v>
      </c>
      <c r="Q104">
        <v>-99.365700000000004</v>
      </c>
      <c r="R104">
        <v>-106.1327</v>
      </c>
      <c r="S104">
        <v>-71.213399999999993</v>
      </c>
      <c r="T104">
        <v>-95.027600000000007</v>
      </c>
      <c r="U104">
        <v>-90.188999999999993</v>
      </c>
      <c r="V104">
        <v>-46.308999999999997</v>
      </c>
    </row>
    <row r="105" spans="1:22" x14ac:dyDescent="0.35">
      <c r="A105" s="1" t="s">
        <v>111</v>
      </c>
      <c r="B105">
        <v>-116.6</v>
      </c>
      <c r="C105" t="s">
        <v>111</v>
      </c>
      <c r="D105" s="4">
        <v>-184.1885</v>
      </c>
      <c r="E105" s="4">
        <v>-146.0454</v>
      </c>
      <c r="F105" s="4">
        <v>-162.1737</v>
      </c>
      <c r="G105" s="4">
        <v>-176.25149999999999</v>
      </c>
      <c r="H105" s="4">
        <v>-120.4717</v>
      </c>
      <c r="I105" s="4">
        <v>-172.75229999999999</v>
      </c>
      <c r="J105" s="4">
        <v>-122.05800000000001</v>
      </c>
      <c r="K105" s="4">
        <v>-38.2164</v>
      </c>
      <c r="M105" s="1" t="s">
        <v>125</v>
      </c>
      <c r="N105">
        <v>-73.900000000000006</v>
      </c>
      <c r="O105">
        <v>-108.571</v>
      </c>
      <c r="P105">
        <v>-87.625699999999995</v>
      </c>
      <c r="Q105">
        <v>-98.522300000000001</v>
      </c>
      <c r="R105">
        <v>-105.143</v>
      </c>
      <c r="S105">
        <v>-70.249200000000002</v>
      </c>
      <c r="T105">
        <v>-95.931200000000004</v>
      </c>
      <c r="U105">
        <v>-88.479399999999998</v>
      </c>
      <c r="V105">
        <v>-43.321599999999997</v>
      </c>
    </row>
    <row r="106" spans="1:22" x14ac:dyDescent="0.35">
      <c r="A106" s="1" t="s">
        <v>112</v>
      </c>
      <c r="B106">
        <v>-115.3</v>
      </c>
      <c r="C106" t="s">
        <v>112</v>
      </c>
      <c r="D106" s="4">
        <v>-183.5746</v>
      </c>
      <c r="E106" s="4">
        <v>-145.20959999999999</v>
      </c>
      <c r="F106" s="4">
        <v>-162.49959999999999</v>
      </c>
      <c r="G106" s="4">
        <v>-176.1986</v>
      </c>
      <c r="H106" s="4">
        <v>-119.7662</v>
      </c>
      <c r="I106" s="4">
        <v>-170.29580000000001</v>
      </c>
      <c r="J106" s="4">
        <v>-121.69029999999999</v>
      </c>
      <c r="K106" s="4">
        <v>-37.246099999999998</v>
      </c>
      <c r="M106" s="1" t="s">
        <v>126</v>
      </c>
      <c r="N106">
        <v>-73.400000000000006</v>
      </c>
      <c r="O106">
        <v>-106.7089</v>
      </c>
      <c r="P106">
        <v>-85.952699999999993</v>
      </c>
      <c r="Q106">
        <v>-96.270099999999999</v>
      </c>
      <c r="R106">
        <v>-103.8772</v>
      </c>
      <c r="S106">
        <v>-69.726500000000001</v>
      </c>
      <c r="T106">
        <v>-100.08929999999999</v>
      </c>
      <c r="U106">
        <v>-86.002399999999994</v>
      </c>
      <c r="V106">
        <v>-43.309199999999997</v>
      </c>
    </row>
    <row r="107" spans="1:22" x14ac:dyDescent="0.35">
      <c r="A107" s="1" t="s">
        <v>113</v>
      </c>
      <c r="B107">
        <v>-118.8</v>
      </c>
      <c r="C107" t="s">
        <v>113</v>
      </c>
      <c r="D107" s="4">
        <v>-183.25559999999999</v>
      </c>
      <c r="E107" s="4">
        <v>-144.7449</v>
      </c>
      <c r="F107" s="4">
        <v>-162.10419999999999</v>
      </c>
      <c r="G107" s="4">
        <v>-173.8511</v>
      </c>
      <c r="H107" s="4">
        <v>-118.4759</v>
      </c>
      <c r="I107" s="4">
        <v>-179.3468</v>
      </c>
      <c r="J107" s="4">
        <v>-120.5457</v>
      </c>
      <c r="K107" s="4">
        <v>-36.660800000000002</v>
      </c>
      <c r="M107" s="1" t="s">
        <v>127</v>
      </c>
      <c r="N107">
        <v>-70.8</v>
      </c>
      <c r="O107">
        <v>-106.416</v>
      </c>
      <c r="P107">
        <v>-85.788799999999995</v>
      </c>
      <c r="Q107">
        <v>-96.025599999999997</v>
      </c>
      <c r="R107">
        <v>-104.3233</v>
      </c>
      <c r="S107">
        <v>-69.814099999999996</v>
      </c>
      <c r="T107">
        <v>-97.473299999999995</v>
      </c>
      <c r="U107">
        <v>-86.296000000000006</v>
      </c>
      <c r="V107">
        <v>-42.671599999999998</v>
      </c>
    </row>
    <row r="108" spans="1:22" x14ac:dyDescent="0.35">
      <c r="A108" s="1" t="s">
        <v>114</v>
      </c>
      <c r="B108">
        <v>-137.9</v>
      </c>
      <c r="C108" t="s">
        <v>114</v>
      </c>
      <c r="D108" s="4">
        <v>-185.38159999999999</v>
      </c>
      <c r="E108" s="4">
        <v>-146.59630000000001</v>
      </c>
      <c r="F108" s="4">
        <v>-164.44569999999999</v>
      </c>
      <c r="G108" s="4">
        <v>-178.5429</v>
      </c>
      <c r="H108" s="4">
        <v>-119.26049999999999</v>
      </c>
      <c r="I108" s="4">
        <v>-182.88300000000001</v>
      </c>
      <c r="J108" s="4">
        <v>-125.81829999999999</v>
      </c>
      <c r="K108" s="4">
        <v>-44.209699999999998</v>
      </c>
      <c r="M108" s="1" t="s">
        <v>128</v>
      </c>
      <c r="N108">
        <v>-74.900000000000006</v>
      </c>
      <c r="O108">
        <v>-106.04859999999999</v>
      </c>
      <c r="P108">
        <v>-85.436400000000006</v>
      </c>
      <c r="Q108">
        <v>-95.917199999999994</v>
      </c>
      <c r="R108">
        <v>-103.0611</v>
      </c>
      <c r="S108">
        <v>-69.675600000000003</v>
      </c>
      <c r="T108">
        <v>-102.4149</v>
      </c>
      <c r="U108">
        <v>-84.911900000000003</v>
      </c>
      <c r="V108">
        <v>-47.0899</v>
      </c>
    </row>
    <row r="109" spans="1:22" x14ac:dyDescent="0.35">
      <c r="A109" s="1" t="s">
        <v>115</v>
      </c>
      <c r="B109">
        <v>-137.80000000000001</v>
      </c>
      <c r="C109" t="s">
        <v>115</v>
      </c>
      <c r="D109" s="4">
        <v>-185.196</v>
      </c>
      <c r="E109" s="4">
        <v>-146.31960000000001</v>
      </c>
      <c r="F109" s="4">
        <v>-163.6951</v>
      </c>
      <c r="G109" s="4">
        <v>-178.0454</v>
      </c>
      <c r="H109" s="4">
        <v>-118.7749</v>
      </c>
      <c r="I109" s="4">
        <v>-176.65809999999999</v>
      </c>
      <c r="J109" s="4">
        <v>-124.9064</v>
      </c>
      <c r="K109" s="4">
        <v>-41.993200000000002</v>
      </c>
      <c r="M109" s="1" t="s">
        <v>129</v>
      </c>
      <c r="N109">
        <v>-72.900000000000006</v>
      </c>
      <c r="O109">
        <v>-110.0265</v>
      </c>
      <c r="P109">
        <v>-88.885999999999996</v>
      </c>
      <c r="Q109">
        <v>-99.592699999999994</v>
      </c>
      <c r="R109">
        <v>-107.3291</v>
      </c>
      <c r="S109">
        <v>-72.664100000000005</v>
      </c>
      <c r="T109">
        <v>-99.137500000000003</v>
      </c>
      <c r="U109">
        <v>-90.254999999999995</v>
      </c>
      <c r="V109">
        <v>-45.560200000000002</v>
      </c>
    </row>
    <row r="110" spans="1:22" x14ac:dyDescent="0.35">
      <c r="A110" s="1" t="s">
        <v>116</v>
      </c>
      <c r="B110">
        <v>-125.3</v>
      </c>
      <c r="C110" t="s">
        <v>116</v>
      </c>
      <c r="D110" s="4">
        <v>-182.92619999999999</v>
      </c>
      <c r="E110" s="4">
        <v>-144.2758</v>
      </c>
      <c r="F110" s="4">
        <v>-161.28309999999999</v>
      </c>
      <c r="G110" s="4">
        <v>-177.0247</v>
      </c>
      <c r="H110" s="4">
        <v>-117.65</v>
      </c>
      <c r="I110" s="4">
        <v>-174.6651</v>
      </c>
      <c r="J110" s="4">
        <v>-123.42619999999999</v>
      </c>
      <c r="K110" s="4">
        <v>-40.4773</v>
      </c>
      <c r="M110" s="1" t="s">
        <v>130</v>
      </c>
      <c r="N110">
        <v>-74.900000000000006</v>
      </c>
      <c r="O110">
        <v>-109.3044</v>
      </c>
      <c r="P110">
        <v>-88.186099999999996</v>
      </c>
      <c r="Q110">
        <v>-98.801500000000004</v>
      </c>
      <c r="R110">
        <v>-105.9311</v>
      </c>
      <c r="S110">
        <v>-71.697500000000005</v>
      </c>
      <c r="T110">
        <v>-97.638800000000003</v>
      </c>
      <c r="U110">
        <v>-88.800799999999995</v>
      </c>
      <c r="V110">
        <v>-44.874400000000001</v>
      </c>
    </row>
    <row r="111" spans="1:22" x14ac:dyDescent="0.35">
      <c r="A111" s="1" t="s">
        <v>117</v>
      </c>
      <c r="B111">
        <v>-124.8</v>
      </c>
      <c r="C111" t="s">
        <v>117</v>
      </c>
      <c r="D111" s="4">
        <v>-184.57509999999999</v>
      </c>
      <c r="E111" s="4">
        <v>-145.5564</v>
      </c>
      <c r="F111" s="4">
        <v>-162.97630000000001</v>
      </c>
      <c r="G111" s="4">
        <v>-177.2465</v>
      </c>
      <c r="H111" s="4">
        <v>-118.4808</v>
      </c>
      <c r="I111" s="4">
        <v>-177.32169999999999</v>
      </c>
      <c r="J111" s="4">
        <v>-125.0347</v>
      </c>
      <c r="K111" s="4">
        <v>-42.154899999999998</v>
      </c>
      <c r="M111" s="1" t="s">
        <v>131</v>
      </c>
      <c r="N111">
        <v>-67.400000000000006</v>
      </c>
      <c r="O111">
        <v>-108.5757</v>
      </c>
      <c r="P111">
        <v>-87.621300000000005</v>
      </c>
      <c r="Q111">
        <v>-98.157300000000006</v>
      </c>
      <c r="R111">
        <v>-105.9273</v>
      </c>
      <c r="S111">
        <v>-71.436099999999996</v>
      </c>
      <c r="T111">
        <v>-99.134200000000007</v>
      </c>
      <c r="U111">
        <v>-87.804299999999998</v>
      </c>
    </row>
    <row r="112" spans="1:22" x14ac:dyDescent="0.35">
      <c r="A112" s="1" t="s">
        <v>118</v>
      </c>
      <c r="B112">
        <v>-126.5</v>
      </c>
      <c r="C112" t="s">
        <v>118</v>
      </c>
      <c r="D112" s="4">
        <v>-183.91650000000001</v>
      </c>
      <c r="E112" s="4">
        <v>-145.16759999999999</v>
      </c>
      <c r="F112" s="4">
        <v>-162.60319999999999</v>
      </c>
      <c r="G112" s="4">
        <v>-175.1986</v>
      </c>
      <c r="H112" s="4">
        <v>-118.1153</v>
      </c>
      <c r="I112" s="4">
        <v>-172.9453</v>
      </c>
      <c r="J112" s="4">
        <v>-124.2846</v>
      </c>
      <c r="K112" s="4">
        <v>-41.097900000000003</v>
      </c>
    </row>
    <row r="113" spans="1:11" x14ac:dyDescent="0.35">
      <c r="A113" s="1" t="s">
        <v>119</v>
      </c>
      <c r="B113">
        <v>-126.6</v>
      </c>
      <c r="C113" t="s">
        <v>119</v>
      </c>
      <c r="D113" s="4">
        <v>-182.4187</v>
      </c>
      <c r="E113" s="4">
        <v>-143.48769999999999</v>
      </c>
      <c r="F113" s="4">
        <v>-160.6694</v>
      </c>
      <c r="G113" s="4">
        <v>-176.8503</v>
      </c>
      <c r="H113" s="4">
        <v>-116.8278</v>
      </c>
      <c r="I113" s="4">
        <v>-178.51580000000001</v>
      </c>
      <c r="J113" s="4">
        <v>-123.12350000000001</v>
      </c>
      <c r="K113" s="4">
        <v>-40.909999999999997</v>
      </c>
    </row>
    <row r="114" spans="1:11" x14ac:dyDescent="0.35">
      <c r="A114" s="1" t="s">
        <v>120</v>
      </c>
      <c r="B114">
        <v>-69.5</v>
      </c>
      <c r="C114" t="s">
        <v>120</v>
      </c>
      <c r="D114" s="4">
        <v>-98.518900000000002</v>
      </c>
      <c r="E114" s="4">
        <v>-78.052899999999994</v>
      </c>
      <c r="F114" s="4">
        <v>-87.388199999999998</v>
      </c>
      <c r="G114" s="4">
        <v>-92.763000000000005</v>
      </c>
      <c r="H114" s="4">
        <v>-63.299399999999999</v>
      </c>
      <c r="I114" s="4">
        <v>-89.504599999999996</v>
      </c>
      <c r="J114" s="4">
        <v>-76.148200000000003</v>
      </c>
      <c r="K114" s="4">
        <v>-31.984400000000001</v>
      </c>
    </row>
    <row r="115" spans="1:11" x14ac:dyDescent="0.35">
      <c r="A115" s="1" t="s">
        <v>121</v>
      </c>
      <c r="B115">
        <v>-69.2</v>
      </c>
      <c r="C115" t="s">
        <v>121</v>
      </c>
      <c r="D115" s="4">
        <v>-97.992500000000007</v>
      </c>
      <c r="E115" s="4">
        <v>-77.679599999999994</v>
      </c>
      <c r="F115" s="4">
        <v>-87.001000000000005</v>
      </c>
      <c r="G115" s="4">
        <v>-93.203900000000004</v>
      </c>
      <c r="H115" s="4">
        <v>-63.106999999999999</v>
      </c>
      <c r="I115" s="4">
        <v>-87.027100000000004</v>
      </c>
      <c r="J115" s="4">
        <v>-76.165599999999998</v>
      </c>
      <c r="K115" s="4">
        <v>-32.531999999999996</v>
      </c>
    </row>
    <row r="116" spans="1:11" x14ac:dyDescent="0.35">
      <c r="A116" s="1" t="s">
        <v>122</v>
      </c>
      <c r="B116">
        <v>-74.900000000000006</v>
      </c>
      <c r="C116" t="s">
        <v>122</v>
      </c>
      <c r="D116" s="4">
        <v>-99.040300000000002</v>
      </c>
      <c r="E116" s="4">
        <v>-78.452600000000004</v>
      </c>
      <c r="F116" s="4">
        <v>-87.677499999999995</v>
      </c>
      <c r="G116" s="4">
        <v>-92.682699999999997</v>
      </c>
      <c r="H116" s="4">
        <v>-63.521799999999999</v>
      </c>
      <c r="I116" s="4">
        <v>-93.575100000000006</v>
      </c>
      <c r="J116" s="4">
        <v>-75.827500000000001</v>
      </c>
      <c r="K116" s="4">
        <v>-30.550999999999998</v>
      </c>
    </row>
    <row r="117" spans="1:11" x14ac:dyDescent="0.35">
      <c r="A117" s="1" t="s">
        <v>123</v>
      </c>
      <c r="B117">
        <v>-75.900000000000006</v>
      </c>
      <c r="C117" t="s">
        <v>123</v>
      </c>
      <c r="D117" s="4">
        <v>-104.32089999999999</v>
      </c>
      <c r="E117" s="4">
        <v>-83.4495</v>
      </c>
      <c r="F117" s="4">
        <v>-93.352900000000005</v>
      </c>
      <c r="G117" s="4">
        <v>-99.058099999999996</v>
      </c>
      <c r="H117" s="4">
        <v>-67.109300000000005</v>
      </c>
      <c r="I117" s="4">
        <v>-90.603800000000007</v>
      </c>
      <c r="J117" s="4">
        <v>-82.451400000000007</v>
      </c>
      <c r="K117" s="4">
        <v>-38.382100000000001</v>
      </c>
    </row>
    <row r="118" spans="1:11" x14ac:dyDescent="0.35">
      <c r="A118" s="1" t="s">
        <v>124</v>
      </c>
      <c r="B118">
        <v>-73.400000000000006</v>
      </c>
      <c r="C118" t="s">
        <v>124</v>
      </c>
      <c r="D118" s="4">
        <v>-107.205</v>
      </c>
      <c r="E118" s="4">
        <v>-86.696100000000001</v>
      </c>
      <c r="F118" s="4">
        <v>-97.396199999999993</v>
      </c>
      <c r="G118" s="4">
        <v>-103.96510000000001</v>
      </c>
      <c r="H118" s="4">
        <v>-69.589799999999997</v>
      </c>
      <c r="I118" s="4">
        <v>-92.052800000000005</v>
      </c>
      <c r="J118" s="4">
        <v>-87.194100000000006</v>
      </c>
      <c r="K118" s="4">
        <v>-44.443399999999997</v>
      </c>
    </row>
    <row r="119" spans="1:11" x14ac:dyDescent="0.35">
      <c r="A119" s="1" t="s">
        <v>125</v>
      </c>
      <c r="B119">
        <v>-73.900000000000006</v>
      </c>
      <c r="C119" t="s">
        <v>125</v>
      </c>
      <c r="D119" s="4">
        <v>-106.8573</v>
      </c>
      <c r="E119" s="4">
        <v>-86.321899999999999</v>
      </c>
      <c r="F119" s="4">
        <v>-96.853800000000007</v>
      </c>
      <c r="G119" s="4">
        <v>-102.9513</v>
      </c>
      <c r="H119" s="4">
        <v>-69.426199999999994</v>
      </c>
      <c r="I119" s="4">
        <v>-95.441599999999994</v>
      </c>
      <c r="J119" s="4">
        <v>-86.089100000000002</v>
      </c>
      <c r="K119" s="4">
        <v>-43.229700000000001</v>
      </c>
    </row>
    <row r="120" spans="1:11" x14ac:dyDescent="0.35">
      <c r="A120" s="1" t="s">
        <v>126</v>
      </c>
      <c r="B120">
        <v>-73.400000000000006</v>
      </c>
      <c r="C120" t="s">
        <v>126</v>
      </c>
      <c r="D120" s="4">
        <v>-101.7246</v>
      </c>
      <c r="E120" s="4">
        <v>-81.493399999999994</v>
      </c>
      <c r="F120" s="4">
        <v>-90.986400000000003</v>
      </c>
      <c r="G120" s="4">
        <v>-96.551400000000001</v>
      </c>
      <c r="H120" s="4">
        <v>-65.605800000000002</v>
      </c>
      <c r="I120" s="4">
        <v>-93.637900000000002</v>
      </c>
      <c r="J120" s="4">
        <v>-79.165300000000002</v>
      </c>
      <c r="K120" s="4">
        <v>-34.616900000000001</v>
      </c>
    </row>
    <row r="121" spans="1:11" x14ac:dyDescent="0.35">
      <c r="A121" s="1" t="s">
        <v>127</v>
      </c>
      <c r="B121">
        <v>-70.8</v>
      </c>
      <c r="C121" t="s">
        <v>127</v>
      </c>
      <c r="D121" s="4">
        <v>-99.674499999999995</v>
      </c>
      <c r="E121" s="4">
        <v>-79.699799999999996</v>
      </c>
      <c r="F121" s="4">
        <v>-88.971100000000007</v>
      </c>
      <c r="G121" s="4">
        <v>-95.982699999999994</v>
      </c>
      <c r="H121" s="4">
        <v>-64.972899999999996</v>
      </c>
      <c r="I121" s="4">
        <v>-90.519199999999998</v>
      </c>
      <c r="J121" s="4">
        <v>-77.859099999999998</v>
      </c>
      <c r="K121" s="4">
        <v>-33.043399999999998</v>
      </c>
    </row>
    <row r="122" spans="1:11" x14ac:dyDescent="0.35">
      <c r="A122" s="1" t="s">
        <v>128</v>
      </c>
      <c r="B122">
        <v>-74.900000000000006</v>
      </c>
      <c r="C122" t="s">
        <v>128</v>
      </c>
      <c r="D122" s="4">
        <v>-102.13079999999999</v>
      </c>
      <c r="E122" s="4">
        <v>-81.795299999999997</v>
      </c>
      <c r="F122" s="4">
        <v>-91.340999999999994</v>
      </c>
      <c r="G122" s="4">
        <v>-97.090999999999994</v>
      </c>
      <c r="H122" s="4">
        <v>-66.827799999999996</v>
      </c>
      <c r="I122" s="4">
        <v>-100.70269999999999</v>
      </c>
      <c r="J122" s="4">
        <v>-79.223399999999998</v>
      </c>
      <c r="K122" s="4">
        <v>-34.323300000000003</v>
      </c>
    </row>
    <row r="123" spans="1:11" x14ac:dyDescent="0.35">
      <c r="A123" s="1" t="s">
        <v>129</v>
      </c>
      <c r="B123">
        <v>-72.900000000000006</v>
      </c>
      <c r="C123" t="s">
        <v>129</v>
      </c>
      <c r="D123" s="4">
        <v>-104.1371</v>
      </c>
      <c r="E123" s="4">
        <v>-83.6571</v>
      </c>
      <c r="F123" s="4">
        <v>-93.662599999999998</v>
      </c>
      <c r="G123" s="4">
        <v>-99.518799999999999</v>
      </c>
      <c r="H123" s="4">
        <v>-68.500100000000003</v>
      </c>
      <c r="I123" s="4">
        <v>-92.488699999999994</v>
      </c>
      <c r="J123" s="4">
        <v>-82.8215</v>
      </c>
      <c r="K123" s="4">
        <v>-38.331899999999997</v>
      </c>
    </row>
    <row r="124" spans="1:11" x14ac:dyDescent="0.35">
      <c r="A124" s="1" t="s">
        <v>130</v>
      </c>
      <c r="B124">
        <v>-74.900000000000006</v>
      </c>
      <c r="E124" s="4">
        <v>-82.600700000000003</v>
      </c>
      <c r="F124" s="4">
        <v>-92.379099999999994</v>
      </c>
      <c r="G124" s="4">
        <v>-99.189099999999996</v>
      </c>
      <c r="H124" s="4">
        <v>-67.432100000000005</v>
      </c>
      <c r="I124" s="4">
        <v>-89.313999999999993</v>
      </c>
      <c r="J124" s="4">
        <v>-81.785600000000002</v>
      </c>
      <c r="K124" s="4">
        <v>-37.203699999999998</v>
      </c>
    </row>
    <row r="125" spans="1:11" x14ac:dyDescent="0.35">
      <c r="A125" s="1" t="s">
        <v>131</v>
      </c>
      <c r="B125">
        <v>-67.400000000000006</v>
      </c>
      <c r="E125" s="4">
        <v>-83.615799999999993</v>
      </c>
      <c r="F125" s="4">
        <v>-93.494699999999995</v>
      </c>
      <c r="G125" s="4">
        <v>-99.716300000000004</v>
      </c>
      <c r="H125" s="4">
        <v>-67.875799999999998</v>
      </c>
      <c r="I125" s="4">
        <v>-93.291300000000007</v>
      </c>
      <c r="J125" s="4">
        <v>-83.140699999999995</v>
      </c>
      <c r="K125" s="4">
        <v>-38.712299999999999</v>
      </c>
    </row>
  </sheetData>
  <sortState xmlns:xlrd2="http://schemas.microsoft.com/office/spreadsheetml/2017/richdata2" ref="M4:M120">
    <sortCondition ref="M3:M120"/>
  </sortState>
  <conditionalFormatting sqref="M124:M142 L4:L123 L2:M3 M4:M62">
    <cfRule type="top10" dxfId="13" priority="25" bottom="1" rank="1"/>
    <cfRule type="top10" dxfId="12" priority="26" rank="1"/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5"/>
  <sheetViews>
    <sheetView topLeftCell="A40" workbookViewId="0">
      <selection activeCell="M2" sqref="M2:N110"/>
    </sheetView>
  </sheetViews>
  <sheetFormatPr defaultRowHeight="14.5" x14ac:dyDescent="0.35"/>
  <cols>
    <col min="1" max="1" width="11.453125" bestFit="1" customWidth="1"/>
    <col min="2" max="4" width="12.26953125" bestFit="1" customWidth="1"/>
    <col min="6" max="7" width="12.26953125" bestFit="1" customWidth="1"/>
    <col min="8" max="9" width="13.26953125" bestFit="1" customWidth="1"/>
  </cols>
  <sheetData>
    <row r="1" spans="1:22" x14ac:dyDescent="0.35">
      <c r="D1" t="s">
        <v>185</v>
      </c>
      <c r="N1" t="s">
        <v>186</v>
      </c>
    </row>
    <row r="2" spans="1:22" x14ac:dyDescent="0.35">
      <c r="C2" t="s">
        <v>0</v>
      </c>
      <c r="D2" t="s">
        <v>1</v>
      </c>
      <c r="E2" t="s">
        <v>2</v>
      </c>
      <c r="F2" t="s">
        <v>3</v>
      </c>
      <c r="G2" t="s">
        <v>172</v>
      </c>
      <c r="H2" t="s">
        <v>5</v>
      </c>
      <c r="I2" t="s">
        <v>6</v>
      </c>
      <c r="J2" t="s">
        <v>7</v>
      </c>
      <c r="K2" t="s">
        <v>8</v>
      </c>
      <c r="N2" t="s">
        <v>0</v>
      </c>
      <c r="O2" t="s">
        <v>1</v>
      </c>
      <c r="P2" t="s">
        <v>2</v>
      </c>
      <c r="Q2" t="s">
        <v>3</v>
      </c>
      <c r="R2" t="s">
        <v>172</v>
      </c>
      <c r="S2" t="s">
        <v>5</v>
      </c>
      <c r="T2" t="s">
        <v>6</v>
      </c>
      <c r="U2" t="s">
        <v>7</v>
      </c>
      <c r="V2" t="s">
        <v>8</v>
      </c>
    </row>
    <row r="3" spans="1:22" x14ac:dyDescent="0.35">
      <c r="A3" s="1" t="s">
        <v>9</v>
      </c>
      <c r="B3" s="2">
        <f>-80.6</f>
        <v>-80.599999999999994</v>
      </c>
      <c r="C3" t="s">
        <v>9</v>
      </c>
      <c r="D3">
        <v>-93.599100000000007</v>
      </c>
      <c r="E3">
        <v>-75.067099999999996</v>
      </c>
      <c r="F3">
        <v>-84.079800000000006</v>
      </c>
      <c r="G3">
        <v>-90.711299999999994</v>
      </c>
      <c r="H3">
        <v>-60.106499999999997</v>
      </c>
      <c r="I3">
        <v>-87.537099999999995</v>
      </c>
      <c r="J3">
        <v>-74.426500000000004</v>
      </c>
      <c r="K3">
        <v>-35.532400000000003</v>
      </c>
      <c r="M3" t="s">
        <v>9</v>
      </c>
      <c r="N3">
        <v>-80.599999999999994</v>
      </c>
      <c r="O3">
        <v>-101.655</v>
      </c>
      <c r="P3">
        <v>-82.637900000000002</v>
      </c>
      <c r="Q3">
        <v>-92.664599999999993</v>
      </c>
      <c r="R3">
        <v>-98.845100000000002</v>
      </c>
      <c r="S3">
        <v>-65.610600000000005</v>
      </c>
      <c r="T3">
        <v>-99.544700000000006</v>
      </c>
      <c r="U3">
        <v>-82.909300000000002</v>
      </c>
      <c r="V3">
        <v>-43.996099999999998</v>
      </c>
    </row>
    <row r="4" spans="1:22" x14ac:dyDescent="0.35">
      <c r="A4" s="1" t="s">
        <v>10</v>
      </c>
      <c r="B4">
        <v>-75.3</v>
      </c>
      <c r="C4" t="s">
        <v>10</v>
      </c>
      <c r="D4">
        <v>-97.685500000000005</v>
      </c>
      <c r="E4">
        <v>-78.037800000000004</v>
      </c>
      <c r="F4">
        <v>-87.626099999999994</v>
      </c>
      <c r="G4">
        <v>-95.961399999999998</v>
      </c>
      <c r="H4">
        <v>-62.571599999999997</v>
      </c>
      <c r="I4">
        <v>-97.863600000000005</v>
      </c>
      <c r="J4">
        <v>-76.301900000000003</v>
      </c>
      <c r="K4">
        <v>-33.099200000000003</v>
      </c>
      <c r="M4" t="s">
        <v>16</v>
      </c>
      <c r="N4">
        <v>-80.3</v>
      </c>
      <c r="O4">
        <v>-108.5599</v>
      </c>
      <c r="P4">
        <v>-88.055999999999997</v>
      </c>
      <c r="Q4">
        <v>-99.040499999999994</v>
      </c>
      <c r="R4">
        <v>-105.416</v>
      </c>
      <c r="S4">
        <v>-70.434899999999999</v>
      </c>
      <c r="T4">
        <v>-108.6426</v>
      </c>
      <c r="U4">
        <v>-88.965999999999994</v>
      </c>
      <c r="V4">
        <v>-41.496099999999998</v>
      </c>
    </row>
    <row r="5" spans="1:22" x14ac:dyDescent="0.35">
      <c r="A5" s="1" t="s">
        <v>11</v>
      </c>
      <c r="B5">
        <v>-57.2</v>
      </c>
      <c r="C5" t="s">
        <v>11</v>
      </c>
      <c r="D5">
        <v>-81.099699999999999</v>
      </c>
      <c r="E5">
        <v>-64.683300000000003</v>
      </c>
      <c r="F5">
        <v>-72.09</v>
      </c>
      <c r="G5">
        <v>-77.735399999999998</v>
      </c>
      <c r="H5">
        <v>-51.2971</v>
      </c>
      <c r="I5">
        <v>-77.670199999999994</v>
      </c>
      <c r="J5">
        <v>-64.310699999999997</v>
      </c>
      <c r="K5">
        <v>-27.9924</v>
      </c>
      <c r="M5" t="s">
        <v>17</v>
      </c>
      <c r="N5">
        <v>-79.3</v>
      </c>
      <c r="O5">
        <v>-115.4235</v>
      </c>
      <c r="P5">
        <v>-93.660600000000002</v>
      </c>
      <c r="Q5">
        <v>-105.3419</v>
      </c>
      <c r="R5">
        <v>-90.365899999999996</v>
      </c>
      <c r="S5">
        <v>-74.565799999999996</v>
      </c>
      <c r="T5">
        <v>-112.5686</v>
      </c>
      <c r="U5">
        <v>-93.621700000000004</v>
      </c>
      <c r="V5">
        <v>-40.398099999999999</v>
      </c>
    </row>
    <row r="6" spans="1:22" x14ac:dyDescent="0.35">
      <c r="A6" s="1" t="s">
        <v>12</v>
      </c>
      <c r="B6">
        <v>-72.599999999999994</v>
      </c>
      <c r="C6" t="s">
        <v>12</v>
      </c>
      <c r="D6">
        <v>-107.4485</v>
      </c>
      <c r="E6">
        <v>-87.348699999999994</v>
      </c>
      <c r="F6">
        <v>-97.916499999999999</v>
      </c>
      <c r="G6">
        <v>-105.5307</v>
      </c>
      <c r="H6">
        <v>-69.668099999999995</v>
      </c>
      <c r="I6">
        <v>-103.95059999999999</v>
      </c>
      <c r="J6">
        <v>-86.104600000000005</v>
      </c>
      <c r="K6">
        <v>-43.348399999999998</v>
      </c>
      <c r="M6" t="s">
        <v>18</v>
      </c>
      <c r="N6">
        <v>-77.2</v>
      </c>
      <c r="O6">
        <v>-108.16249999999999</v>
      </c>
      <c r="P6">
        <v>-89.224199999999996</v>
      </c>
      <c r="Q6">
        <v>-100.31059999999999</v>
      </c>
      <c r="R6">
        <v>-110.34310000000001</v>
      </c>
      <c r="S6">
        <v>-70.649100000000004</v>
      </c>
      <c r="T6">
        <v>-104.8579</v>
      </c>
      <c r="U6">
        <v>-89.805199999999999</v>
      </c>
      <c r="V6">
        <v>-48.612000000000002</v>
      </c>
    </row>
    <row r="7" spans="1:22" x14ac:dyDescent="0.35">
      <c r="A7" s="1" t="s">
        <v>13</v>
      </c>
      <c r="B7">
        <v>-67.3</v>
      </c>
      <c r="C7" t="s">
        <v>13</v>
      </c>
      <c r="D7">
        <v>-75.2226</v>
      </c>
      <c r="E7">
        <v>-57.592700000000001</v>
      </c>
      <c r="F7">
        <v>-63.714599999999997</v>
      </c>
      <c r="G7">
        <v>-73.914500000000004</v>
      </c>
      <c r="H7">
        <v>-46.703400000000002</v>
      </c>
      <c r="I7">
        <v>-72.012900000000002</v>
      </c>
      <c r="J7">
        <v>-58.371400000000001</v>
      </c>
      <c r="K7">
        <v>-20.331199999999999</v>
      </c>
      <c r="M7" t="s">
        <v>19</v>
      </c>
      <c r="N7">
        <v>-82.4</v>
      </c>
      <c r="O7">
        <v>-112.1943</v>
      </c>
      <c r="P7">
        <v>-90.757900000000006</v>
      </c>
      <c r="Q7">
        <v>-101.81489999999999</v>
      </c>
      <c r="R7">
        <v>-91.087599999999995</v>
      </c>
      <c r="S7">
        <v>-71.4148</v>
      </c>
      <c r="T7">
        <v>-108.9277</v>
      </c>
      <c r="U7">
        <v>-91.052700000000002</v>
      </c>
      <c r="V7">
        <v>-35.558700000000002</v>
      </c>
    </row>
    <row r="8" spans="1:22" x14ac:dyDescent="0.35">
      <c r="A8" s="1" t="s">
        <v>14</v>
      </c>
      <c r="B8">
        <v>-49</v>
      </c>
      <c r="C8" t="s">
        <v>14</v>
      </c>
      <c r="D8">
        <v>-86.330299999999994</v>
      </c>
      <c r="E8">
        <v>-70.835400000000007</v>
      </c>
      <c r="F8">
        <v>-79.897199999999998</v>
      </c>
      <c r="G8">
        <v>-84.0501</v>
      </c>
      <c r="H8">
        <v>-56.252800000000001</v>
      </c>
      <c r="I8">
        <v>-84.787800000000004</v>
      </c>
      <c r="J8">
        <v>-69.635599999999997</v>
      </c>
      <c r="K8">
        <v>-34.346299999999999</v>
      </c>
      <c r="M8" t="s">
        <v>20</v>
      </c>
      <c r="N8">
        <v>-51.6</v>
      </c>
      <c r="O8">
        <v>-86.067300000000003</v>
      </c>
      <c r="P8">
        <v>-71.514799999999994</v>
      </c>
      <c r="Q8">
        <v>-80.460599999999999</v>
      </c>
      <c r="R8">
        <v>-91.153899999999993</v>
      </c>
      <c r="S8">
        <v>-56.342500000000001</v>
      </c>
      <c r="T8">
        <v>-84.038600000000002</v>
      </c>
      <c r="U8">
        <v>-72.537700000000001</v>
      </c>
      <c r="V8">
        <v>-42.974699999999999</v>
      </c>
    </row>
    <row r="9" spans="1:22" x14ac:dyDescent="0.35">
      <c r="A9" s="1" t="s">
        <v>15</v>
      </c>
      <c r="B9">
        <v>-76.900000000000006</v>
      </c>
      <c r="C9" t="s">
        <v>15</v>
      </c>
      <c r="D9">
        <v>-85.658699999999996</v>
      </c>
      <c r="E9">
        <v>-66.655299999999997</v>
      </c>
      <c r="F9">
        <v>-74.258799999999994</v>
      </c>
      <c r="G9">
        <v>-83.611000000000004</v>
      </c>
      <c r="H9">
        <v>-54.051099999999998</v>
      </c>
      <c r="I9">
        <v>-88.528899999999993</v>
      </c>
      <c r="J9">
        <v>-64.940799999999996</v>
      </c>
      <c r="K9">
        <v>-24.2316</v>
      </c>
      <c r="M9" t="s">
        <v>21</v>
      </c>
      <c r="N9">
        <v>-90.8</v>
      </c>
      <c r="O9">
        <v>-119.54859999999999</v>
      </c>
      <c r="P9">
        <v>-95.763300000000001</v>
      </c>
      <c r="Q9">
        <v>-106.70480000000001</v>
      </c>
      <c r="R9">
        <v>-98.236000000000004</v>
      </c>
      <c r="S9">
        <v>-77.011600000000001</v>
      </c>
      <c r="T9">
        <v>-117.16370000000001</v>
      </c>
      <c r="U9">
        <v>-94.588700000000003</v>
      </c>
      <c r="V9">
        <v>-35.626800000000003</v>
      </c>
    </row>
    <row r="10" spans="1:22" x14ac:dyDescent="0.35">
      <c r="A10" s="1" t="s">
        <v>16</v>
      </c>
      <c r="B10">
        <v>-80.3</v>
      </c>
      <c r="C10" t="s">
        <v>16</v>
      </c>
      <c r="D10">
        <v>-100.7942</v>
      </c>
      <c r="E10">
        <v>-81.362700000000004</v>
      </c>
      <c r="F10">
        <v>-91.607900000000001</v>
      </c>
      <c r="G10">
        <v>-100.7726</v>
      </c>
      <c r="H10">
        <v>-65.290599999999998</v>
      </c>
      <c r="I10">
        <v>-102.93340000000001</v>
      </c>
      <c r="J10">
        <v>-81.444999999999993</v>
      </c>
      <c r="K10">
        <v>-40.092300000000002</v>
      </c>
      <c r="M10" t="s">
        <v>22</v>
      </c>
      <c r="N10">
        <v>-58.5</v>
      </c>
      <c r="O10">
        <v>-87.221500000000006</v>
      </c>
      <c r="P10">
        <v>-72.200800000000001</v>
      </c>
      <c r="Q10">
        <v>-81.474500000000006</v>
      </c>
      <c r="R10">
        <v>-108.9246</v>
      </c>
      <c r="S10">
        <v>-56.440399999999997</v>
      </c>
      <c r="T10">
        <v>-83.643299999999996</v>
      </c>
      <c r="U10">
        <v>-75.8386</v>
      </c>
      <c r="V10">
        <v>-45.705599999999997</v>
      </c>
    </row>
    <row r="11" spans="1:22" x14ac:dyDescent="0.35">
      <c r="A11" s="1" t="s">
        <v>17</v>
      </c>
      <c r="B11">
        <v>-79.3</v>
      </c>
      <c r="C11" t="s">
        <v>17</v>
      </c>
      <c r="D11">
        <v>-109.3747</v>
      </c>
      <c r="E11">
        <v>-88.285700000000006</v>
      </c>
      <c r="F11">
        <v>-99.162099999999995</v>
      </c>
      <c r="G11">
        <v>-107.3523</v>
      </c>
      <c r="H11">
        <v>-70.462000000000003</v>
      </c>
      <c r="I11">
        <v>-104.99769999999999</v>
      </c>
      <c r="J11">
        <v>-87.246399999999994</v>
      </c>
      <c r="K11">
        <v>-43.5411</v>
      </c>
      <c r="M11" t="s">
        <v>23</v>
      </c>
      <c r="N11">
        <v>-70.5</v>
      </c>
      <c r="O11">
        <v>-107.8199</v>
      </c>
      <c r="P11">
        <v>-88.714500000000001</v>
      </c>
      <c r="Q11">
        <v>-99.543700000000001</v>
      </c>
      <c r="R11">
        <v>-113.7373</v>
      </c>
      <c r="S11">
        <v>-71.260300000000001</v>
      </c>
      <c r="T11">
        <v>-105.5575</v>
      </c>
      <c r="U11">
        <v>-89.753500000000003</v>
      </c>
      <c r="V11">
        <v>-49.459299999999999</v>
      </c>
    </row>
    <row r="12" spans="1:22" x14ac:dyDescent="0.35">
      <c r="A12" s="1" t="s">
        <v>18</v>
      </c>
      <c r="B12">
        <v>-77.2</v>
      </c>
      <c r="C12" t="s">
        <v>18</v>
      </c>
      <c r="D12">
        <v>-102.1789</v>
      </c>
      <c r="E12">
        <v>-83.543700000000001</v>
      </c>
      <c r="F12">
        <v>-93.829700000000003</v>
      </c>
      <c r="G12">
        <v>-99.289000000000001</v>
      </c>
      <c r="H12">
        <v>-66.578299999999999</v>
      </c>
      <c r="I12">
        <v>-99.031400000000005</v>
      </c>
      <c r="J12">
        <v>-82.931200000000004</v>
      </c>
      <c r="K12">
        <v>-43.414099999999998</v>
      </c>
      <c r="M12" t="s">
        <v>10</v>
      </c>
      <c r="N12">
        <v>-75.3</v>
      </c>
      <c r="O12">
        <v>-105.604</v>
      </c>
      <c r="P12">
        <v>-84.88</v>
      </c>
      <c r="Q12">
        <v>-95.407600000000002</v>
      </c>
      <c r="R12">
        <v>-106.1482</v>
      </c>
      <c r="S12">
        <v>-67.457800000000006</v>
      </c>
      <c r="T12">
        <v>-105.0424</v>
      </c>
      <c r="U12">
        <v>-84.933400000000006</v>
      </c>
      <c r="V12">
        <v>-50.644399999999997</v>
      </c>
    </row>
    <row r="13" spans="1:22" x14ac:dyDescent="0.35">
      <c r="A13" s="1" t="s">
        <v>19</v>
      </c>
      <c r="B13">
        <v>-82.4</v>
      </c>
      <c r="C13" t="s">
        <v>19</v>
      </c>
      <c r="D13">
        <v>-101.4635</v>
      </c>
      <c r="E13">
        <v>-80.641999999999996</v>
      </c>
      <c r="F13">
        <v>-90.206699999999998</v>
      </c>
      <c r="G13">
        <v>-99.414599999999993</v>
      </c>
      <c r="H13">
        <v>-63.8508</v>
      </c>
      <c r="I13">
        <v>-99.327399999999997</v>
      </c>
      <c r="J13">
        <v>-79.551699999999997</v>
      </c>
      <c r="K13">
        <v>-35.772399999999998</v>
      </c>
      <c r="M13" t="s">
        <v>11</v>
      </c>
      <c r="N13">
        <v>-57.2</v>
      </c>
      <c r="O13">
        <v>-92.278999999999996</v>
      </c>
      <c r="P13">
        <v>-74.454499999999996</v>
      </c>
      <c r="Q13">
        <v>-83.383700000000005</v>
      </c>
      <c r="R13">
        <v>-110.6306</v>
      </c>
      <c r="S13">
        <v>-59.180399999999999</v>
      </c>
      <c r="T13">
        <v>-87.875200000000007</v>
      </c>
      <c r="U13">
        <v>-77.28</v>
      </c>
      <c r="V13">
        <v>-47.746699999999997</v>
      </c>
    </row>
    <row r="14" spans="1:22" x14ac:dyDescent="0.35">
      <c r="A14" s="1" t="s">
        <v>20</v>
      </c>
      <c r="B14">
        <v>-51.6</v>
      </c>
      <c r="C14" t="s">
        <v>20</v>
      </c>
      <c r="D14">
        <v>-76.202100000000002</v>
      </c>
      <c r="E14">
        <v>-62.562899999999999</v>
      </c>
      <c r="F14">
        <v>-70.295100000000005</v>
      </c>
      <c r="G14">
        <v>-72.666200000000003</v>
      </c>
      <c r="H14">
        <v>-49.1858</v>
      </c>
      <c r="I14">
        <v>-74.845600000000005</v>
      </c>
      <c r="J14">
        <v>-61.894399999999997</v>
      </c>
      <c r="K14">
        <v>-31.988399999999999</v>
      </c>
      <c r="M14" t="s">
        <v>12</v>
      </c>
      <c r="N14">
        <v>-72.599999999999994</v>
      </c>
      <c r="O14">
        <v>-112.3353</v>
      </c>
      <c r="P14">
        <v>-91.627099999999999</v>
      </c>
      <c r="Q14">
        <v>-102.9085</v>
      </c>
      <c r="R14">
        <v>-83.946600000000004</v>
      </c>
      <c r="S14">
        <v>-73.141499999999994</v>
      </c>
      <c r="T14">
        <v>-108.75790000000001</v>
      </c>
      <c r="U14">
        <v>-91.302499999999995</v>
      </c>
      <c r="V14">
        <v>-43.375799999999998</v>
      </c>
    </row>
    <row r="15" spans="1:22" x14ac:dyDescent="0.35">
      <c r="A15" s="1" t="s">
        <v>21</v>
      </c>
      <c r="B15">
        <v>-90.8</v>
      </c>
      <c r="C15" t="s">
        <v>21</v>
      </c>
      <c r="D15">
        <v>-110.5026</v>
      </c>
      <c r="E15">
        <v>-87.364599999999996</v>
      </c>
      <c r="F15">
        <v>-97.240200000000002</v>
      </c>
      <c r="G15">
        <v>-106.6763</v>
      </c>
      <c r="H15">
        <v>-70.720500000000001</v>
      </c>
      <c r="I15">
        <v>-111.0484</v>
      </c>
      <c r="J15">
        <v>-84.965999999999994</v>
      </c>
      <c r="K15">
        <v>-36.069400000000002</v>
      </c>
      <c r="M15" t="s">
        <v>13</v>
      </c>
      <c r="N15">
        <v>-67.3</v>
      </c>
      <c r="O15">
        <v>-92.703400000000002</v>
      </c>
      <c r="P15">
        <v>-72.522900000000007</v>
      </c>
      <c r="Q15">
        <v>-80.433599999999998</v>
      </c>
      <c r="R15">
        <v>-117.0476</v>
      </c>
      <c r="S15">
        <v>-57.667900000000003</v>
      </c>
      <c r="T15">
        <v>-88.656800000000004</v>
      </c>
      <c r="U15">
        <v>-76.511899999999997</v>
      </c>
      <c r="V15">
        <v>-45.601900000000001</v>
      </c>
    </row>
    <row r="16" spans="1:22" x14ac:dyDescent="0.35">
      <c r="A16" s="1" t="s">
        <v>22</v>
      </c>
      <c r="B16">
        <v>-58.5</v>
      </c>
      <c r="C16" t="s">
        <v>22</v>
      </c>
      <c r="D16">
        <v>-77.499399999999994</v>
      </c>
      <c r="E16">
        <v>-63.521299999999997</v>
      </c>
      <c r="F16">
        <v>-71.863200000000006</v>
      </c>
      <c r="G16">
        <v>-73.820400000000006</v>
      </c>
      <c r="H16">
        <v>-49.250599999999999</v>
      </c>
      <c r="I16">
        <v>-74.162700000000001</v>
      </c>
      <c r="J16">
        <v>-64.295500000000004</v>
      </c>
      <c r="K16">
        <v>-33.307699999999997</v>
      </c>
      <c r="M16" t="s">
        <v>14</v>
      </c>
      <c r="N16">
        <v>-49</v>
      </c>
      <c r="O16">
        <v>-92.680400000000006</v>
      </c>
      <c r="P16">
        <v>-76.061700000000002</v>
      </c>
      <c r="Q16">
        <v>-85.89</v>
      </c>
      <c r="R16">
        <v>-84.798500000000004</v>
      </c>
      <c r="S16">
        <v>-60.497700000000002</v>
      </c>
      <c r="T16">
        <v>-91.1965</v>
      </c>
      <c r="U16">
        <v>-77.896600000000007</v>
      </c>
      <c r="V16">
        <v>-46.007599999999996</v>
      </c>
    </row>
    <row r="17" spans="1:22" x14ac:dyDescent="0.35">
      <c r="A17" s="1" t="s">
        <v>23</v>
      </c>
      <c r="B17">
        <v>-70.5</v>
      </c>
      <c r="C17" t="s">
        <v>23</v>
      </c>
      <c r="D17">
        <v>-103.46510000000001</v>
      </c>
      <c r="E17">
        <v>-83.432000000000002</v>
      </c>
      <c r="F17">
        <v>-92.971500000000006</v>
      </c>
      <c r="G17">
        <v>-100.45650000000001</v>
      </c>
      <c r="H17">
        <v>-66.954499999999996</v>
      </c>
      <c r="I17">
        <v>-97.760800000000003</v>
      </c>
      <c r="J17">
        <v>-84.713099999999997</v>
      </c>
      <c r="K17">
        <v>-42.043500000000002</v>
      </c>
      <c r="M17" t="s">
        <v>15</v>
      </c>
      <c r="N17">
        <v>-76.900000000000006</v>
      </c>
      <c r="O17">
        <v>-101.4402</v>
      </c>
      <c r="P17">
        <v>-79.861800000000002</v>
      </c>
      <c r="Q17">
        <v>-88.986199999999997</v>
      </c>
      <c r="R17">
        <v>-106.0895</v>
      </c>
      <c r="S17">
        <v>-63.857399999999998</v>
      </c>
      <c r="T17">
        <v>-96.921199999999999</v>
      </c>
      <c r="U17">
        <v>-80.765100000000004</v>
      </c>
      <c r="V17">
        <v>-50.976500000000001</v>
      </c>
    </row>
    <row r="18" spans="1:22" x14ac:dyDescent="0.35">
      <c r="A18" s="1" t="s">
        <v>24</v>
      </c>
      <c r="B18">
        <v>-66.8</v>
      </c>
      <c r="C18" t="s">
        <v>24</v>
      </c>
      <c r="D18">
        <v>-89.755899999999997</v>
      </c>
      <c r="E18">
        <v>-69.987200000000001</v>
      </c>
      <c r="F18">
        <v>-77.932199999999995</v>
      </c>
      <c r="G18">
        <v>-86.950599999999994</v>
      </c>
      <c r="H18">
        <v>-57.115299999999998</v>
      </c>
      <c r="I18">
        <v>-84.709900000000005</v>
      </c>
      <c r="J18">
        <v>-68.138400000000004</v>
      </c>
      <c r="K18">
        <v>-24.584800000000001</v>
      </c>
      <c r="M18" t="s">
        <v>24</v>
      </c>
      <c r="N18">
        <v>-66.8</v>
      </c>
      <c r="O18">
        <v>-102.9847</v>
      </c>
      <c r="P18">
        <v>-81.184299999999993</v>
      </c>
      <c r="Q18">
        <v>-90.205200000000005</v>
      </c>
      <c r="R18">
        <v>-101.33710000000001</v>
      </c>
      <c r="S18">
        <v>-65.591399999999993</v>
      </c>
      <c r="T18">
        <v>-99.609099999999998</v>
      </c>
      <c r="U18">
        <v>-82.010800000000003</v>
      </c>
      <c r="V18">
        <v>-36.393599999999999</v>
      </c>
    </row>
    <row r="19" spans="1:22" x14ac:dyDescent="0.35">
      <c r="A19" s="1" t="s">
        <v>25</v>
      </c>
      <c r="B19">
        <v>-70</v>
      </c>
      <c r="C19" t="s">
        <v>25</v>
      </c>
      <c r="D19">
        <v>-103.2047</v>
      </c>
      <c r="E19">
        <v>-83.027299999999997</v>
      </c>
      <c r="F19">
        <v>-93.447100000000006</v>
      </c>
      <c r="G19">
        <v>-101.80249999999999</v>
      </c>
      <c r="H19">
        <v>-66.070499999999996</v>
      </c>
      <c r="I19">
        <v>-100.82299999999999</v>
      </c>
      <c r="J19">
        <v>-82.946399999999997</v>
      </c>
      <c r="K19">
        <v>-39.608699999999999</v>
      </c>
      <c r="M19" t="s">
        <v>25</v>
      </c>
      <c r="N19">
        <v>-70</v>
      </c>
      <c r="O19">
        <v>-111.5706</v>
      </c>
      <c r="P19">
        <v>-90.400099999999995</v>
      </c>
      <c r="Q19">
        <v>-101.687</v>
      </c>
      <c r="R19">
        <v>-110.2467</v>
      </c>
      <c r="S19">
        <v>-71.628100000000003</v>
      </c>
      <c r="T19">
        <v>-109.4063</v>
      </c>
      <c r="U19">
        <v>-91.632999999999996</v>
      </c>
      <c r="V19">
        <v>-47.765999999999998</v>
      </c>
    </row>
    <row r="20" spans="1:22" x14ac:dyDescent="0.35">
      <c r="A20" s="1" t="s">
        <v>26</v>
      </c>
      <c r="B20">
        <v>-88.3</v>
      </c>
      <c r="C20" t="s">
        <v>26</v>
      </c>
      <c r="D20">
        <v>-110.6041</v>
      </c>
      <c r="E20">
        <v>-90.105400000000003</v>
      </c>
      <c r="F20">
        <v>-101.1097</v>
      </c>
      <c r="G20">
        <v>-107.499</v>
      </c>
      <c r="H20">
        <v>-71.751599999999996</v>
      </c>
      <c r="I20">
        <v>-107.2581</v>
      </c>
      <c r="J20">
        <v>-88.250100000000003</v>
      </c>
      <c r="K20">
        <v>-44.457700000000003</v>
      </c>
      <c r="M20" t="s">
        <v>26</v>
      </c>
      <c r="N20">
        <v>-88.3</v>
      </c>
      <c r="O20">
        <v>-122.4789</v>
      </c>
      <c r="P20">
        <v>-100.62869999999999</v>
      </c>
      <c r="Q20">
        <v>-113.1609</v>
      </c>
      <c r="R20">
        <v>-120.726</v>
      </c>
      <c r="S20">
        <v>-79.501999999999995</v>
      </c>
      <c r="T20">
        <v>-117.9385</v>
      </c>
      <c r="U20">
        <v>-101.41370000000001</v>
      </c>
      <c r="V20">
        <v>-56.645800000000001</v>
      </c>
    </row>
    <row r="21" spans="1:22" x14ac:dyDescent="0.35">
      <c r="A21" s="1" t="s">
        <v>27</v>
      </c>
      <c r="B21">
        <v>-128.30000000000001</v>
      </c>
      <c r="C21" t="s">
        <v>27</v>
      </c>
      <c r="D21">
        <v>-158.01159999999999</v>
      </c>
      <c r="E21">
        <v>-124.3877</v>
      </c>
      <c r="F21">
        <v>-139.63980000000001</v>
      </c>
      <c r="G21">
        <v>-153.72909999999999</v>
      </c>
      <c r="H21">
        <v>-102.16240000000001</v>
      </c>
      <c r="I21">
        <v>-170.3152</v>
      </c>
      <c r="J21">
        <v>-100.2518</v>
      </c>
      <c r="K21">
        <v>-25.388100000000001</v>
      </c>
      <c r="M21" t="s">
        <v>29</v>
      </c>
      <c r="N21">
        <v>-67</v>
      </c>
      <c r="O21">
        <v>-105.9659</v>
      </c>
      <c r="P21">
        <v>-84.54</v>
      </c>
      <c r="Q21">
        <v>-94.761499999999998</v>
      </c>
      <c r="R21">
        <v>-104.124</v>
      </c>
      <c r="S21">
        <v>-67.476100000000002</v>
      </c>
      <c r="T21">
        <v>-103.04219999999999</v>
      </c>
      <c r="U21">
        <v>-85.151200000000003</v>
      </c>
      <c r="V21">
        <v>-40.186700000000002</v>
      </c>
    </row>
    <row r="22" spans="1:22" x14ac:dyDescent="0.35">
      <c r="A22" s="1" t="s">
        <v>28</v>
      </c>
      <c r="B22">
        <v>-136.80000000000001</v>
      </c>
      <c r="C22" t="s">
        <v>28</v>
      </c>
      <c r="D22">
        <v>-173.44370000000001</v>
      </c>
      <c r="E22">
        <v>-136.62809999999999</v>
      </c>
      <c r="F22">
        <v>-153.0181</v>
      </c>
      <c r="G22">
        <v>-169.6747</v>
      </c>
      <c r="H22">
        <v>-110.5839</v>
      </c>
      <c r="I22">
        <v>-173.9177</v>
      </c>
      <c r="J22">
        <v>-114.7837</v>
      </c>
      <c r="K22">
        <v>-33.839399999999998</v>
      </c>
      <c r="M22" t="s">
        <v>30</v>
      </c>
      <c r="N22">
        <v>-83.4</v>
      </c>
      <c r="O22">
        <v>-110.863</v>
      </c>
      <c r="P22">
        <v>-90.1417</v>
      </c>
      <c r="Q22">
        <v>-101.1566</v>
      </c>
      <c r="R22">
        <v>-109.2257</v>
      </c>
      <c r="S22">
        <v>-72.279200000000003</v>
      </c>
      <c r="T22">
        <v>-107.4828</v>
      </c>
      <c r="U22">
        <v>-90.949299999999994</v>
      </c>
      <c r="V22">
        <v>-47.669899999999998</v>
      </c>
    </row>
    <row r="23" spans="1:22" x14ac:dyDescent="0.35">
      <c r="A23" s="1" t="s">
        <v>29</v>
      </c>
      <c r="B23">
        <v>-67</v>
      </c>
      <c r="C23" t="s">
        <v>29</v>
      </c>
      <c r="D23">
        <v>-91.640600000000006</v>
      </c>
      <c r="E23">
        <v>-71.917699999999996</v>
      </c>
      <c r="F23">
        <v>-80.564800000000005</v>
      </c>
      <c r="G23">
        <v>-88.630099999999999</v>
      </c>
      <c r="H23">
        <v>-58.078299999999999</v>
      </c>
      <c r="I23">
        <v>-90.255799999999994</v>
      </c>
      <c r="J23">
        <v>-69.321600000000004</v>
      </c>
      <c r="K23">
        <v>-25.306100000000001</v>
      </c>
      <c r="M23" t="s">
        <v>31</v>
      </c>
      <c r="N23">
        <v>-71.099999999999994</v>
      </c>
      <c r="O23">
        <v>-106.8571</v>
      </c>
      <c r="P23">
        <v>-86.206699999999998</v>
      </c>
      <c r="Q23">
        <v>-96.904200000000003</v>
      </c>
      <c r="R23">
        <v>-105.80629999999999</v>
      </c>
      <c r="S23">
        <v>-69.086600000000004</v>
      </c>
      <c r="T23">
        <v>-106.5891</v>
      </c>
      <c r="U23">
        <v>-86.611800000000002</v>
      </c>
      <c r="V23">
        <v>-42.644300000000001</v>
      </c>
    </row>
    <row r="24" spans="1:22" x14ac:dyDescent="0.35">
      <c r="A24" s="1" t="s">
        <v>30</v>
      </c>
      <c r="B24">
        <v>-83.4</v>
      </c>
      <c r="C24" t="s">
        <v>30</v>
      </c>
      <c r="D24">
        <v>-100.7788</v>
      </c>
      <c r="E24">
        <v>-81.094700000000003</v>
      </c>
      <c r="F24">
        <v>-90.963399999999993</v>
      </c>
      <c r="G24">
        <v>-98.941100000000006</v>
      </c>
      <c r="H24">
        <v>-65.709400000000002</v>
      </c>
      <c r="I24">
        <v>-97.298199999999994</v>
      </c>
      <c r="J24">
        <v>-80.355099999999993</v>
      </c>
      <c r="K24">
        <v>-37.299599999999998</v>
      </c>
      <c r="M24" t="s">
        <v>32</v>
      </c>
      <c r="N24">
        <v>-74.2</v>
      </c>
      <c r="O24">
        <v>-110.32989999999999</v>
      </c>
      <c r="P24">
        <v>-89.161699999999996</v>
      </c>
      <c r="Q24">
        <v>-99.897099999999995</v>
      </c>
      <c r="R24">
        <v>-107.40389999999999</v>
      </c>
      <c r="S24">
        <v>-71.644499999999994</v>
      </c>
      <c r="T24">
        <v>-107.56059999999999</v>
      </c>
      <c r="U24">
        <v>-89.178899999999999</v>
      </c>
      <c r="V24">
        <v>-45.049799999999998</v>
      </c>
    </row>
    <row r="25" spans="1:22" x14ac:dyDescent="0.35">
      <c r="A25" s="1" t="s">
        <v>31</v>
      </c>
      <c r="B25">
        <v>-71.099999999999994</v>
      </c>
      <c r="C25" t="s">
        <v>31</v>
      </c>
      <c r="D25">
        <v>-102.1007</v>
      </c>
      <c r="E25">
        <v>-80.749099999999999</v>
      </c>
      <c r="F25">
        <v>-89.996200000000002</v>
      </c>
      <c r="G25">
        <v>-100.0064</v>
      </c>
      <c r="H25">
        <v>-65.038399999999996</v>
      </c>
      <c r="I25">
        <v>-101.9143</v>
      </c>
      <c r="J25">
        <v>-79.483500000000006</v>
      </c>
      <c r="K25">
        <v>-32.017899999999997</v>
      </c>
      <c r="M25" t="s">
        <v>61</v>
      </c>
      <c r="N25">
        <v>-74.2</v>
      </c>
      <c r="O25">
        <v>-102.4496</v>
      </c>
      <c r="P25">
        <v>-83.485500000000002</v>
      </c>
      <c r="Q25">
        <v>-93.438500000000005</v>
      </c>
      <c r="R25">
        <v>-105.3578</v>
      </c>
      <c r="S25">
        <v>-67.046599999999998</v>
      </c>
      <c r="T25">
        <v>-92.9452</v>
      </c>
      <c r="U25">
        <v>-83.817899999999995</v>
      </c>
      <c r="V25">
        <v>-42.581299999999999</v>
      </c>
    </row>
    <row r="26" spans="1:22" x14ac:dyDescent="0.35">
      <c r="A26" s="1" t="s">
        <v>32</v>
      </c>
      <c r="B26">
        <v>-74.2</v>
      </c>
      <c r="C26" t="s">
        <v>32</v>
      </c>
      <c r="D26">
        <v>-102.3304</v>
      </c>
      <c r="E26">
        <v>-81.784300000000002</v>
      </c>
      <c r="F26">
        <v>-91.525300000000001</v>
      </c>
      <c r="G26">
        <v>-98.349699999999999</v>
      </c>
      <c r="H26">
        <v>-65.839799999999997</v>
      </c>
      <c r="I26">
        <v>-99.625699999999995</v>
      </c>
      <c r="J26">
        <v>-80.804400000000001</v>
      </c>
      <c r="K26">
        <v>-36.165599999999998</v>
      </c>
      <c r="M26" t="s">
        <v>62</v>
      </c>
      <c r="N26">
        <v>-76.2</v>
      </c>
      <c r="O26">
        <v>-101.51739999999999</v>
      </c>
      <c r="P26">
        <v>-82.621600000000001</v>
      </c>
      <c r="Q26">
        <v>-92.581199999999995</v>
      </c>
      <c r="R26">
        <v>-103.5972</v>
      </c>
      <c r="S26">
        <v>-66.137600000000006</v>
      </c>
      <c r="T26">
        <v>-91.168499999999995</v>
      </c>
      <c r="U26">
        <v>-82.792900000000003</v>
      </c>
      <c r="V26">
        <v>-41.476999999999997</v>
      </c>
    </row>
    <row r="27" spans="1:22" x14ac:dyDescent="0.35">
      <c r="A27" s="1" t="s">
        <v>33</v>
      </c>
      <c r="B27">
        <v>-77.400000000000006</v>
      </c>
      <c r="C27" t="s">
        <v>33</v>
      </c>
      <c r="D27">
        <v>-101.95529999999999</v>
      </c>
      <c r="E27">
        <v>-81.784000000000006</v>
      </c>
      <c r="F27">
        <v>-91.636700000000005</v>
      </c>
      <c r="G27">
        <v>-99</v>
      </c>
      <c r="H27">
        <v>-65.647000000000006</v>
      </c>
      <c r="I27">
        <v>-97.718900000000005</v>
      </c>
      <c r="J27">
        <v>-80.144599999999997</v>
      </c>
      <c r="K27">
        <v>-37.564900000000002</v>
      </c>
      <c r="M27" t="s">
        <v>63</v>
      </c>
      <c r="N27">
        <v>-77.2</v>
      </c>
      <c r="O27">
        <v>-101.40989999999999</v>
      </c>
      <c r="P27">
        <v>-82.722099999999998</v>
      </c>
      <c r="Q27">
        <v>-92.773300000000006</v>
      </c>
      <c r="R27">
        <v>-105.4299</v>
      </c>
      <c r="S27">
        <v>-66.222499999999997</v>
      </c>
      <c r="T27">
        <v>-92.262200000000007</v>
      </c>
      <c r="U27">
        <v>-82.777900000000002</v>
      </c>
      <c r="V27">
        <v>-43.004800000000003</v>
      </c>
    </row>
    <row r="28" spans="1:22" x14ac:dyDescent="0.35">
      <c r="A28" s="1" t="s">
        <v>34</v>
      </c>
      <c r="B28">
        <v>-72.8</v>
      </c>
      <c r="C28" t="s">
        <v>34</v>
      </c>
      <c r="D28">
        <v>-98.687799999999996</v>
      </c>
      <c r="E28">
        <v>-78.614999999999995</v>
      </c>
      <c r="F28">
        <v>-87.885199999999998</v>
      </c>
      <c r="G28">
        <v>-96.118600000000001</v>
      </c>
      <c r="H28">
        <v>-63.5869</v>
      </c>
      <c r="I28">
        <v>-90.997</v>
      </c>
      <c r="J28">
        <v>-76.605400000000003</v>
      </c>
      <c r="K28">
        <v>-33.280900000000003</v>
      </c>
      <c r="M28" t="s">
        <v>64</v>
      </c>
      <c r="N28">
        <v>-75.5</v>
      </c>
      <c r="O28">
        <v>-102.1399</v>
      </c>
      <c r="P28">
        <v>-83.43</v>
      </c>
      <c r="Q28">
        <v>-93.324100000000001</v>
      </c>
      <c r="R28">
        <v>-103.661</v>
      </c>
      <c r="S28">
        <v>-67.263000000000005</v>
      </c>
      <c r="T28">
        <v>-93.700299999999999</v>
      </c>
      <c r="U28">
        <v>-83.395899999999997</v>
      </c>
      <c r="V28">
        <v>-41.503799999999998</v>
      </c>
    </row>
    <row r="29" spans="1:22" x14ac:dyDescent="0.35">
      <c r="A29" s="1" t="s">
        <v>35</v>
      </c>
      <c r="B29">
        <v>-72.3</v>
      </c>
      <c r="C29" t="s">
        <v>35</v>
      </c>
      <c r="D29">
        <v>-95.845399999999998</v>
      </c>
      <c r="E29">
        <v>-76.397499999999994</v>
      </c>
      <c r="F29">
        <v>-85.745999999999995</v>
      </c>
      <c r="G29">
        <v>-93.588899999999995</v>
      </c>
      <c r="H29">
        <v>-62.136000000000003</v>
      </c>
      <c r="I29">
        <v>-87.365099999999998</v>
      </c>
      <c r="J29">
        <v>-74.326099999999997</v>
      </c>
      <c r="K29">
        <v>-31.310500000000001</v>
      </c>
      <c r="M29" t="s">
        <v>65</v>
      </c>
      <c r="N29">
        <v>-79.3</v>
      </c>
      <c r="O29">
        <v>-108.5348</v>
      </c>
      <c r="P29">
        <v>-88.195700000000002</v>
      </c>
      <c r="Q29">
        <v>-99.552000000000007</v>
      </c>
      <c r="R29">
        <v>-87.853700000000003</v>
      </c>
      <c r="S29">
        <v>-71.2898</v>
      </c>
      <c r="T29">
        <v>-104.0558</v>
      </c>
      <c r="U29">
        <v>-88.381500000000003</v>
      </c>
      <c r="V29">
        <v>-41.858699999999999</v>
      </c>
    </row>
    <row r="30" spans="1:22" x14ac:dyDescent="0.35">
      <c r="A30" s="1" t="s">
        <v>36</v>
      </c>
      <c r="B30">
        <v>-73.7</v>
      </c>
      <c r="C30" t="s">
        <v>36</v>
      </c>
      <c r="D30">
        <v>-96.040499999999994</v>
      </c>
      <c r="E30">
        <v>-76.507099999999994</v>
      </c>
      <c r="F30">
        <v>-85.9</v>
      </c>
      <c r="G30">
        <v>-92.727999999999994</v>
      </c>
      <c r="H30">
        <v>-62.233800000000002</v>
      </c>
      <c r="I30">
        <v>-90.232799999999997</v>
      </c>
      <c r="J30">
        <v>-73.598200000000006</v>
      </c>
      <c r="K30">
        <v>-31.002600000000001</v>
      </c>
      <c r="M30" t="s">
        <v>66</v>
      </c>
      <c r="N30">
        <v>-76.8</v>
      </c>
      <c r="O30">
        <v>-108.693</v>
      </c>
      <c r="P30">
        <v>-88.024500000000003</v>
      </c>
      <c r="Q30">
        <v>-99.150499999999994</v>
      </c>
      <c r="R30">
        <v>-88.632000000000005</v>
      </c>
      <c r="S30">
        <v>-70.706800000000001</v>
      </c>
      <c r="T30">
        <v>-98.638999999999996</v>
      </c>
      <c r="U30">
        <v>-88.1053</v>
      </c>
      <c r="V30">
        <v>-40.644500000000001</v>
      </c>
    </row>
    <row r="31" spans="1:22" x14ac:dyDescent="0.35">
      <c r="A31" s="1" t="s">
        <v>37</v>
      </c>
      <c r="B31">
        <v>-58.1</v>
      </c>
      <c r="C31" t="s">
        <v>37</v>
      </c>
      <c r="D31">
        <v>-82.513599999999997</v>
      </c>
      <c r="E31">
        <v>-65.591899999999995</v>
      </c>
      <c r="F31">
        <v>-73.305899999999994</v>
      </c>
      <c r="G31">
        <v>-76.221999999999994</v>
      </c>
      <c r="H31">
        <v>-52.6646</v>
      </c>
      <c r="I31">
        <v>-76.686499999999995</v>
      </c>
      <c r="J31">
        <v>-66.958500000000001</v>
      </c>
      <c r="K31">
        <v>-31.715900000000001</v>
      </c>
      <c r="M31" t="s">
        <v>67</v>
      </c>
      <c r="N31">
        <v>-73.900000000000006</v>
      </c>
      <c r="O31">
        <v>-108.7116</v>
      </c>
      <c r="P31">
        <v>-88.105500000000006</v>
      </c>
      <c r="Q31">
        <v>-99.246399999999994</v>
      </c>
      <c r="R31">
        <v>-87.581699999999998</v>
      </c>
      <c r="S31">
        <v>-70.951499999999996</v>
      </c>
      <c r="T31">
        <v>-105.31829999999999</v>
      </c>
      <c r="U31">
        <v>-87.982600000000005</v>
      </c>
      <c r="V31">
        <v>-40.994100000000003</v>
      </c>
    </row>
    <row r="32" spans="1:22" x14ac:dyDescent="0.35">
      <c r="A32" s="1" t="s">
        <v>38</v>
      </c>
      <c r="B32">
        <v>-57.4</v>
      </c>
      <c r="C32" t="s">
        <v>38</v>
      </c>
      <c r="D32">
        <v>-85.4435</v>
      </c>
      <c r="E32">
        <v>-68.139300000000006</v>
      </c>
      <c r="F32">
        <v>-75.941299999999998</v>
      </c>
      <c r="G32">
        <v>-81.063199999999995</v>
      </c>
      <c r="H32">
        <v>-54.882899999999999</v>
      </c>
      <c r="I32">
        <v>-75.359099999999998</v>
      </c>
      <c r="J32">
        <v>-69.238399999999999</v>
      </c>
      <c r="K32">
        <v>-32.6845</v>
      </c>
      <c r="M32" t="s">
        <v>68</v>
      </c>
      <c r="N32">
        <v>-74</v>
      </c>
      <c r="O32">
        <v>-108.1189</v>
      </c>
      <c r="P32">
        <v>-87.500699999999995</v>
      </c>
      <c r="Q32">
        <v>-98.337500000000006</v>
      </c>
      <c r="R32">
        <v>-88.390600000000006</v>
      </c>
      <c r="S32">
        <v>-70.538799999999995</v>
      </c>
      <c r="T32">
        <v>-99.888900000000007</v>
      </c>
      <c r="U32">
        <v>-87.055400000000006</v>
      </c>
      <c r="V32">
        <v>-41.089100000000002</v>
      </c>
    </row>
    <row r="33" spans="1:22" x14ac:dyDescent="0.35">
      <c r="A33" s="1" t="s">
        <v>39</v>
      </c>
      <c r="B33">
        <v>-63</v>
      </c>
      <c r="C33" t="s">
        <v>39</v>
      </c>
      <c r="D33">
        <v>-82.467699999999994</v>
      </c>
      <c r="E33">
        <v>-65.985500000000002</v>
      </c>
      <c r="F33">
        <v>-73.637799999999999</v>
      </c>
      <c r="G33">
        <v>-77.746799999999993</v>
      </c>
      <c r="H33">
        <v>-53.327599999999997</v>
      </c>
      <c r="I33">
        <v>-70.705500000000001</v>
      </c>
      <c r="J33">
        <v>-67.0655</v>
      </c>
      <c r="K33">
        <v>-31.869199999999999</v>
      </c>
      <c r="M33" t="s">
        <v>69</v>
      </c>
      <c r="N33">
        <v>-76.599999999999994</v>
      </c>
      <c r="O33">
        <v>-108.7809</v>
      </c>
      <c r="P33">
        <v>-88.064499999999995</v>
      </c>
      <c r="Q33">
        <v>-98.703999999999994</v>
      </c>
      <c r="R33">
        <v>-89.227099999999993</v>
      </c>
      <c r="S33">
        <v>-71.283699999999996</v>
      </c>
      <c r="T33">
        <v>-97.247799999999998</v>
      </c>
      <c r="U33">
        <v>-88.451300000000003</v>
      </c>
      <c r="V33">
        <v>-48.9788</v>
      </c>
    </row>
    <row r="34" spans="1:22" x14ac:dyDescent="0.35">
      <c r="A34" s="1" t="s">
        <v>40</v>
      </c>
      <c r="B34">
        <v>-59.1</v>
      </c>
      <c r="C34" t="s">
        <v>40</v>
      </c>
      <c r="D34">
        <v>-83.801299999999998</v>
      </c>
      <c r="E34">
        <v>-67.168899999999994</v>
      </c>
      <c r="F34">
        <v>-75.362300000000005</v>
      </c>
      <c r="G34">
        <v>-78.694400000000002</v>
      </c>
      <c r="H34">
        <v>-54.124699999999997</v>
      </c>
      <c r="I34">
        <v>-74.727099999999993</v>
      </c>
      <c r="J34">
        <v>-68.147099999999995</v>
      </c>
      <c r="K34">
        <v>-33.108199999999997</v>
      </c>
      <c r="M34" t="s">
        <v>70</v>
      </c>
      <c r="N34">
        <v>-82.9</v>
      </c>
      <c r="O34">
        <v>-116.8229</v>
      </c>
      <c r="P34">
        <v>-95.127399999999994</v>
      </c>
      <c r="Q34">
        <v>-106.9156</v>
      </c>
      <c r="R34">
        <v>-110.1615</v>
      </c>
      <c r="S34">
        <v>-76.758300000000006</v>
      </c>
      <c r="T34">
        <v>-109.7851</v>
      </c>
      <c r="U34">
        <v>-94.962199999999996</v>
      </c>
      <c r="V34">
        <v>-49.697099999999999</v>
      </c>
    </row>
    <row r="35" spans="1:22" x14ac:dyDescent="0.35">
      <c r="A35" s="1" t="s">
        <v>41</v>
      </c>
      <c r="B35">
        <v>-58.9</v>
      </c>
      <c r="C35" t="s">
        <v>41</v>
      </c>
      <c r="D35">
        <v>-84.444000000000003</v>
      </c>
      <c r="E35">
        <v>-66.862099999999998</v>
      </c>
      <c r="F35">
        <v>-74.337299999999999</v>
      </c>
      <c r="G35">
        <v>-78.926500000000004</v>
      </c>
      <c r="H35">
        <v>-53.664400000000001</v>
      </c>
      <c r="I35">
        <v>-74.2744</v>
      </c>
      <c r="J35">
        <v>-68.082599999999999</v>
      </c>
      <c r="K35">
        <v>-30.493300000000001</v>
      </c>
      <c r="M35" t="s">
        <v>71</v>
      </c>
      <c r="N35">
        <v>-81</v>
      </c>
      <c r="O35">
        <v>-117.12520000000001</v>
      </c>
      <c r="P35">
        <v>-95.191100000000006</v>
      </c>
      <c r="Q35">
        <v>-106.77849999999999</v>
      </c>
      <c r="R35">
        <v>-109.5664</v>
      </c>
      <c r="S35">
        <v>-76.505700000000004</v>
      </c>
      <c r="T35">
        <v>-107.6932</v>
      </c>
      <c r="U35">
        <v>-94.782899999999998</v>
      </c>
      <c r="V35">
        <v>-49.394500000000001</v>
      </c>
    </row>
    <row r="36" spans="1:22" x14ac:dyDescent="0.35">
      <c r="A36" s="1" t="s">
        <v>42</v>
      </c>
      <c r="B36">
        <v>-72.3</v>
      </c>
      <c r="C36" t="s">
        <v>42</v>
      </c>
      <c r="D36">
        <v>-99.724599999999995</v>
      </c>
      <c r="E36">
        <v>-80.329700000000003</v>
      </c>
      <c r="F36">
        <v>-90.004999999999995</v>
      </c>
      <c r="G36">
        <v>-101.2218</v>
      </c>
      <c r="H36">
        <v>-69.038700000000006</v>
      </c>
      <c r="I36">
        <v>-97.401899999999998</v>
      </c>
      <c r="J36">
        <v>-82.347099999999998</v>
      </c>
      <c r="K36">
        <v>-39.714799999999997</v>
      </c>
      <c r="M36" t="s">
        <v>72</v>
      </c>
      <c r="N36">
        <v>-81.099999999999994</v>
      </c>
      <c r="O36">
        <v>-116.3558</v>
      </c>
      <c r="P36">
        <v>-94.632999999999996</v>
      </c>
      <c r="Q36">
        <v>-106.4684</v>
      </c>
      <c r="R36">
        <v>-109.4588</v>
      </c>
      <c r="S36">
        <v>-75.550700000000006</v>
      </c>
      <c r="T36">
        <v>-110.8421</v>
      </c>
      <c r="U36">
        <v>-94.496300000000005</v>
      </c>
      <c r="V36">
        <v>-47.384399999999999</v>
      </c>
    </row>
    <row r="37" spans="1:22" x14ac:dyDescent="0.35">
      <c r="A37" s="1" t="s">
        <v>43</v>
      </c>
      <c r="B37">
        <v>-74</v>
      </c>
      <c r="C37" t="s">
        <v>43</v>
      </c>
      <c r="D37">
        <v>-110.9119</v>
      </c>
      <c r="E37">
        <v>-89.902500000000003</v>
      </c>
      <c r="F37">
        <v>-100.5164</v>
      </c>
      <c r="G37">
        <v>-109.00190000000001</v>
      </c>
      <c r="H37">
        <v>-73.575199999999995</v>
      </c>
      <c r="I37">
        <v>-102.65089999999999</v>
      </c>
      <c r="J37">
        <v>-91.131299999999996</v>
      </c>
      <c r="K37">
        <v>-46.743400000000001</v>
      </c>
      <c r="M37" t="s">
        <v>73</v>
      </c>
      <c r="N37">
        <v>-78.2</v>
      </c>
      <c r="O37">
        <v>-116.85469999999999</v>
      </c>
      <c r="P37">
        <v>-95.237899999999996</v>
      </c>
      <c r="Q37">
        <v>-107.25409999999999</v>
      </c>
      <c r="R37">
        <v>-107.5153</v>
      </c>
      <c r="S37">
        <v>-76.492999999999995</v>
      </c>
      <c r="T37">
        <v>-111.4554</v>
      </c>
      <c r="U37">
        <v>-95.030799999999999</v>
      </c>
      <c r="V37">
        <v>-47.401499999999999</v>
      </c>
    </row>
    <row r="38" spans="1:22" x14ac:dyDescent="0.35">
      <c r="A38" s="1" t="s">
        <v>44</v>
      </c>
      <c r="B38">
        <v>-75.2</v>
      </c>
      <c r="C38" t="s">
        <v>44</v>
      </c>
      <c r="D38">
        <v>-112.236</v>
      </c>
      <c r="E38">
        <v>-91.341499999999996</v>
      </c>
      <c r="F38">
        <v>-102.1829</v>
      </c>
      <c r="G38">
        <v>-107.3143</v>
      </c>
      <c r="H38">
        <v>-73.303600000000003</v>
      </c>
      <c r="I38">
        <v>-101.68940000000001</v>
      </c>
      <c r="J38">
        <v>-89.5869</v>
      </c>
      <c r="K38">
        <v>-46.543100000000003</v>
      </c>
      <c r="M38" t="s">
        <v>74</v>
      </c>
      <c r="N38">
        <v>-78.7</v>
      </c>
      <c r="O38">
        <v>-117.0859</v>
      </c>
      <c r="P38">
        <v>-95.319199999999995</v>
      </c>
      <c r="Q38">
        <v>-107.127</v>
      </c>
      <c r="R38">
        <v>-107.99379999999999</v>
      </c>
      <c r="S38">
        <v>-76.255499999999998</v>
      </c>
      <c r="T38">
        <v>-104.6818</v>
      </c>
      <c r="U38">
        <v>-95.323400000000007</v>
      </c>
      <c r="V38">
        <v>-47.8506</v>
      </c>
    </row>
    <row r="39" spans="1:22" x14ac:dyDescent="0.35">
      <c r="A39" s="1" t="s">
        <v>45</v>
      </c>
      <c r="B39">
        <v>-76.900000000000006</v>
      </c>
      <c r="C39" t="s">
        <v>45</v>
      </c>
      <c r="D39">
        <v>-108.7564</v>
      </c>
      <c r="E39">
        <v>-88.227500000000006</v>
      </c>
      <c r="F39">
        <v>-98.948999999999998</v>
      </c>
      <c r="G39">
        <v>-104.87269999999999</v>
      </c>
      <c r="H39">
        <v>-70.3733</v>
      </c>
      <c r="I39">
        <v>-95.779899999999998</v>
      </c>
      <c r="J39">
        <v>-86.337599999999995</v>
      </c>
      <c r="K39">
        <v>-43.351999999999997</v>
      </c>
      <c r="M39" t="s">
        <v>75</v>
      </c>
      <c r="N39">
        <v>-74.5</v>
      </c>
      <c r="O39">
        <v>-107.1015</v>
      </c>
      <c r="P39">
        <v>-88.453400000000002</v>
      </c>
      <c r="Q39">
        <v>-99.200900000000004</v>
      </c>
      <c r="R39">
        <v>-108.9316</v>
      </c>
      <c r="S39">
        <v>-70.880700000000004</v>
      </c>
      <c r="T39">
        <v>-96.904799999999994</v>
      </c>
      <c r="U39">
        <v>-87.629099999999994</v>
      </c>
      <c r="V39">
        <v>-46.757300000000001</v>
      </c>
    </row>
    <row r="40" spans="1:22" x14ac:dyDescent="0.35">
      <c r="A40" s="1" t="s">
        <v>46</v>
      </c>
      <c r="B40">
        <v>-69.400000000000006</v>
      </c>
      <c r="C40" t="s">
        <v>46</v>
      </c>
      <c r="D40">
        <v>-108.3433</v>
      </c>
      <c r="E40">
        <v>-87.928100000000001</v>
      </c>
      <c r="F40">
        <v>-98.588499999999996</v>
      </c>
      <c r="G40">
        <v>-103.55889999999999</v>
      </c>
      <c r="H40">
        <v>-70.588999999999999</v>
      </c>
      <c r="I40">
        <v>-98.151300000000006</v>
      </c>
      <c r="J40">
        <v>-85.552199999999999</v>
      </c>
      <c r="K40">
        <v>-42.9148</v>
      </c>
      <c r="M40" t="s">
        <v>76</v>
      </c>
      <c r="N40">
        <v>-74.099999999999994</v>
      </c>
      <c r="O40">
        <v>-105.6562</v>
      </c>
      <c r="P40">
        <v>-87.094499999999996</v>
      </c>
      <c r="Q40">
        <v>-97.906800000000004</v>
      </c>
      <c r="R40">
        <v>-108.6279</v>
      </c>
      <c r="S40">
        <v>-69.747699999999995</v>
      </c>
      <c r="T40">
        <v>-93.589399999999998</v>
      </c>
      <c r="U40">
        <v>-85.818700000000007</v>
      </c>
      <c r="V40">
        <v>-37.386299999999999</v>
      </c>
    </row>
    <row r="41" spans="1:22" x14ac:dyDescent="0.35">
      <c r="A41" s="1" t="s">
        <v>47</v>
      </c>
      <c r="B41">
        <v>-72.400000000000006</v>
      </c>
      <c r="C41" t="s">
        <v>47</v>
      </c>
      <c r="D41">
        <v>-109.0981</v>
      </c>
      <c r="E41">
        <v>-88.702799999999996</v>
      </c>
      <c r="F41">
        <v>-99.764399999999995</v>
      </c>
      <c r="G41">
        <v>-105.0408</v>
      </c>
      <c r="H41">
        <v>-70.921599999999998</v>
      </c>
      <c r="I41">
        <v>-104.5466</v>
      </c>
      <c r="J41">
        <v>-86.878699999999995</v>
      </c>
      <c r="K41">
        <v>-44.354100000000003</v>
      </c>
      <c r="M41" t="s">
        <v>77</v>
      </c>
      <c r="N41">
        <v>-74.7</v>
      </c>
      <c r="O41">
        <v>-107.0061</v>
      </c>
      <c r="P41">
        <v>-88.253699999999995</v>
      </c>
      <c r="Q41">
        <v>-99.397800000000004</v>
      </c>
      <c r="R41">
        <v>-92.395499999999998</v>
      </c>
      <c r="S41">
        <v>-70.773600000000002</v>
      </c>
      <c r="T41">
        <v>-99.718800000000002</v>
      </c>
      <c r="U41">
        <v>-87.483000000000004</v>
      </c>
      <c r="V41">
        <v>-36.069800000000001</v>
      </c>
    </row>
    <row r="42" spans="1:22" x14ac:dyDescent="0.35">
      <c r="A42" s="1" t="s">
        <v>48</v>
      </c>
      <c r="B42">
        <v>-71.8</v>
      </c>
      <c r="C42" t="s">
        <v>48</v>
      </c>
      <c r="D42">
        <v>-109.9823</v>
      </c>
      <c r="E42">
        <v>-89.093199999999996</v>
      </c>
      <c r="F42">
        <v>-99.840100000000007</v>
      </c>
      <c r="G42">
        <v>-105.4648</v>
      </c>
      <c r="H42">
        <v>-71.023700000000005</v>
      </c>
      <c r="I42">
        <v>-95.927400000000006</v>
      </c>
      <c r="J42">
        <v>-87.104600000000005</v>
      </c>
      <c r="K42">
        <v>-43.041400000000003</v>
      </c>
      <c r="M42" t="s">
        <v>78</v>
      </c>
      <c r="N42">
        <v>-75</v>
      </c>
      <c r="O42">
        <v>-106.93819999999999</v>
      </c>
      <c r="P42">
        <v>-88.024600000000007</v>
      </c>
      <c r="Q42">
        <v>-98.745099999999994</v>
      </c>
      <c r="R42">
        <v>-90.616</v>
      </c>
      <c r="S42">
        <v>-70.178200000000004</v>
      </c>
      <c r="T42">
        <v>-94.665099999999995</v>
      </c>
      <c r="U42">
        <v>-87.113</v>
      </c>
      <c r="V42">
        <v>-35.770899999999997</v>
      </c>
    </row>
    <row r="43" spans="1:22" x14ac:dyDescent="0.35">
      <c r="A43" s="1" t="s">
        <v>49</v>
      </c>
      <c r="B43">
        <v>-61.8</v>
      </c>
      <c r="C43" t="s">
        <v>49</v>
      </c>
      <c r="D43">
        <v>-82.125900000000001</v>
      </c>
      <c r="E43">
        <v>-63.091799999999999</v>
      </c>
      <c r="F43">
        <v>-69.762299999999996</v>
      </c>
      <c r="G43">
        <v>-79.942300000000003</v>
      </c>
      <c r="H43">
        <v>-51.161200000000001</v>
      </c>
      <c r="I43">
        <v>-72.910300000000007</v>
      </c>
      <c r="J43">
        <v>-65.789500000000004</v>
      </c>
      <c r="K43">
        <v>-26.532299999999999</v>
      </c>
      <c r="M43" t="s">
        <v>79</v>
      </c>
      <c r="N43">
        <v>-77.2</v>
      </c>
      <c r="O43">
        <v>-112.56</v>
      </c>
      <c r="P43">
        <v>-90.957599999999999</v>
      </c>
      <c r="Q43">
        <v>-101.9265</v>
      </c>
      <c r="R43">
        <v>-90.921800000000005</v>
      </c>
      <c r="S43">
        <v>-72.165700000000001</v>
      </c>
      <c r="T43">
        <v>-105.79349999999999</v>
      </c>
      <c r="U43">
        <v>-90.483999999999995</v>
      </c>
      <c r="V43">
        <v>-38.5486</v>
      </c>
    </row>
    <row r="44" spans="1:22" x14ac:dyDescent="0.35">
      <c r="A44" s="1" t="s">
        <v>50</v>
      </c>
      <c r="B44">
        <v>-67.2</v>
      </c>
      <c r="C44" t="s">
        <v>50</v>
      </c>
      <c r="D44">
        <v>-82.516800000000003</v>
      </c>
      <c r="E44">
        <v>-63.619199999999999</v>
      </c>
      <c r="F44">
        <v>-70.378600000000006</v>
      </c>
      <c r="G44">
        <v>-80.709999999999994</v>
      </c>
      <c r="H44">
        <v>-51.566299999999998</v>
      </c>
      <c r="I44">
        <v>-72.896299999999997</v>
      </c>
      <c r="J44">
        <v>-66.222499999999997</v>
      </c>
      <c r="K44">
        <v>-26.8294</v>
      </c>
      <c r="M44" t="s">
        <v>80</v>
      </c>
      <c r="N44">
        <v>-75.8</v>
      </c>
      <c r="O44">
        <v>-111.9521</v>
      </c>
      <c r="P44">
        <v>-90.387</v>
      </c>
      <c r="Q44">
        <v>-101.2927</v>
      </c>
      <c r="R44">
        <v>-93.045900000000003</v>
      </c>
      <c r="S44">
        <v>-71.709900000000005</v>
      </c>
      <c r="T44">
        <v>-98.715999999999994</v>
      </c>
      <c r="U44">
        <v>-90.282200000000003</v>
      </c>
      <c r="V44">
        <v>-43.275500000000001</v>
      </c>
    </row>
    <row r="45" spans="1:22" x14ac:dyDescent="0.35">
      <c r="A45" s="1" t="s">
        <v>51</v>
      </c>
      <c r="B45">
        <v>-65.400000000000006</v>
      </c>
      <c r="C45" t="s">
        <v>51</v>
      </c>
      <c r="D45">
        <v>-79.988200000000006</v>
      </c>
      <c r="E45">
        <v>-61.356400000000001</v>
      </c>
      <c r="F45">
        <v>-67.837699999999998</v>
      </c>
      <c r="G45">
        <v>-78.246399999999994</v>
      </c>
      <c r="H45">
        <v>-50.122599999999998</v>
      </c>
      <c r="I45">
        <v>-70.046899999999994</v>
      </c>
      <c r="J45">
        <v>-63.193100000000001</v>
      </c>
      <c r="K45">
        <v>-23.828800000000001</v>
      </c>
      <c r="M45" t="s">
        <v>81</v>
      </c>
      <c r="N45">
        <v>-78.599999999999994</v>
      </c>
      <c r="O45">
        <v>-112.16849999999999</v>
      </c>
      <c r="P45">
        <v>-90.5197</v>
      </c>
      <c r="Q45">
        <v>-101.4739</v>
      </c>
      <c r="R45">
        <v>-89.71</v>
      </c>
      <c r="S45">
        <v>-71.645700000000005</v>
      </c>
      <c r="T45">
        <v>-104.7616</v>
      </c>
      <c r="U45">
        <v>-89.604399999999998</v>
      </c>
      <c r="V45">
        <v>-44.546799999999998</v>
      </c>
    </row>
    <row r="46" spans="1:22" x14ac:dyDescent="0.35">
      <c r="A46" s="1" t="s">
        <v>52</v>
      </c>
      <c r="B46">
        <v>-66.400000000000006</v>
      </c>
      <c r="C46" t="s">
        <v>52</v>
      </c>
      <c r="D46">
        <v>-82.9803</v>
      </c>
      <c r="E46">
        <v>-64.284300000000002</v>
      </c>
      <c r="F46">
        <v>-71.318899999999999</v>
      </c>
      <c r="G46">
        <v>-81.337800000000001</v>
      </c>
      <c r="H46">
        <v>-52.435699999999997</v>
      </c>
      <c r="I46">
        <v>-79.67</v>
      </c>
      <c r="J46">
        <v>-66.598699999999994</v>
      </c>
      <c r="K46">
        <v>-27.3111</v>
      </c>
      <c r="M46" t="s">
        <v>82</v>
      </c>
      <c r="N46">
        <v>-77.3</v>
      </c>
      <c r="O46">
        <v>-112.77290000000001</v>
      </c>
      <c r="P46">
        <v>-91.143699999999995</v>
      </c>
      <c r="Q46">
        <v>-102.1306</v>
      </c>
      <c r="R46">
        <v>-91.088200000000001</v>
      </c>
      <c r="S46">
        <v>-72.201400000000007</v>
      </c>
      <c r="T46">
        <v>-101.3699</v>
      </c>
      <c r="U46">
        <v>-90.514499999999998</v>
      </c>
      <c r="V46">
        <v>-45.3429</v>
      </c>
    </row>
    <row r="47" spans="1:22" x14ac:dyDescent="0.35">
      <c r="A47" s="1" t="s">
        <v>53</v>
      </c>
      <c r="B47">
        <v>-48.1</v>
      </c>
      <c r="C47" t="s">
        <v>53</v>
      </c>
      <c r="D47">
        <v>-86.831999999999994</v>
      </c>
      <c r="E47">
        <v>-71.232299999999995</v>
      </c>
      <c r="F47">
        <v>-80.230599999999995</v>
      </c>
      <c r="G47">
        <v>-83.355599999999995</v>
      </c>
      <c r="H47">
        <v>-57.457599999999999</v>
      </c>
      <c r="I47">
        <v>-78.396699999999996</v>
      </c>
      <c r="J47">
        <v>-70.482600000000005</v>
      </c>
      <c r="K47">
        <v>-35.506599999999999</v>
      </c>
      <c r="M47" t="s">
        <v>83</v>
      </c>
      <c r="N47">
        <v>-79.400000000000006</v>
      </c>
      <c r="O47">
        <v>-112.59050000000001</v>
      </c>
      <c r="P47">
        <v>-91.004400000000004</v>
      </c>
      <c r="Q47">
        <v>-101.8271</v>
      </c>
      <c r="R47">
        <v>-92.773499999999999</v>
      </c>
      <c r="S47">
        <v>-72.371600000000001</v>
      </c>
      <c r="T47">
        <v>-102.1983</v>
      </c>
      <c r="U47">
        <v>-90.422799999999995</v>
      </c>
      <c r="V47">
        <v>-36.257199999999997</v>
      </c>
    </row>
    <row r="48" spans="1:22" x14ac:dyDescent="0.35">
      <c r="A48" s="1" t="s">
        <v>54</v>
      </c>
      <c r="B48">
        <v>-53.7</v>
      </c>
      <c r="C48" t="s">
        <v>54</v>
      </c>
      <c r="D48">
        <v>-85.421099999999996</v>
      </c>
      <c r="E48">
        <v>-69.976900000000001</v>
      </c>
      <c r="F48">
        <v>-79.010499999999993</v>
      </c>
      <c r="G48">
        <v>-82.203400000000002</v>
      </c>
      <c r="H48">
        <v>-56.350299999999997</v>
      </c>
      <c r="I48">
        <v>-73.605699999999999</v>
      </c>
      <c r="J48">
        <v>-69.789900000000003</v>
      </c>
      <c r="K48">
        <v>-35.124899999999997</v>
      </c>
      <c r="M48" t="s">
        <v>84</v>
      </c>
      <c r="N48">
        <v>-52.3</v>
      </c>
      <c r="O48">
        <v>-84.505700000000004</v>
      </c>
      <c r="P48">
        <v>-69.825400000000002</v>
      </c>
      <c r="Q48">
        <v>-78.628299999999996</v>
      </c>
      <c r="R48">
        <v>-97.709400000000002</v>
      </c>
      <c r="S48">
        <v>-54.626600000000003</v>
      </c>
      <c r="T48">
        <v>-78.530199999999994</v>
      </c>
      <c r="U48">
        <v>-69.119799999999998</v>
      </c>
      <c r="V48">
        <v>-38.494300000000003</v>
      </c>
    </row>
    <row r="49" spans="1:22" x14ac:dyDescent="0.35">
      <c r="A49" s="1" t="s">
        <v>55</v>
      </c>
      <c r="B49">
        <v>-53.5</v>
      </c>
      <c r="C49" t="s">
        <v>55</v>
      </c>
      <c r="D49">
        <v>-88.331500000000005</v>
      </c>
      <c r="E49">
        <v>-72.781899999999993</v>
      </c>
      <c r="F49">
        <v>-82.027699999999996</v>
      </c>
      <c r="G49">
        <v>-85.650800000000004</v>
      </c>
      <c r="H49">
        <v>-58.6873</v>
      </c>
      <c r="I49">
        <v>-80.581800000000001</v>
      </c>
      <c r="J49">
        <v>-72.114000000000004</v>
      </c>
      <c r="K49">
        <v>-36.985100000000003</v>
      </c>
      <c r="M49" t="s">
        <v>85</v>
      </c>
      <c r="N49">
        <v>-50.1</v>
      </c>
      <c r="O49">
        <v>-85.942099999999996</v>
      </c>
      <c r="P49">
        <v>-71.334500000000006</v>
      </c>
      <c r="Q49">
        <v>-80.369900000000001</v>
      </c>
      <c r="R49">
        <v>-99.943100000000001</v>
      </c>
      <c r="S49">
        <v>-55.964599999999997</v>
      </c>
      <c r="T49">
        <v>-75.709599999999995</v>
      </c>
      <c r="U49">
        <v>-71.694199999999995</v>
      </c>
      <c r="V49">
        <v>-38.1937</v>
      </c>
    </row>
    <row r="50" spans="1:22" x14ac:dyDescent="0.35">
      <c r="A50" s="1" t="s">
        <v>56</v>
      </c>
      <c r="B50">
        <v>-69</v>
      </c>
      <c r="C50" t="s">
        <v>56</v>
      </c>
      <c r="D50">
        <v>-92.6815</v>
      </c>
      <c r="E50">
        <v>-72.466399999999993</v>
      </c>
      <c r="F50">
        <v>-80.641900000000007</v>
      </c>
      <c r="G50">
        <v>-89.673100000000005</v>
      </c>
      <c r="H50">
        <v>-59.148299999999999</v>
      </c>
      <c r="I50">
        <v>-87.422799999999995</v>
      </c>
      <c r="J50">
        <v>-70.788300000000007</v>
      </c>
      <c r="K50">
        <v>-28.488099999999999</v>
      </c>
      <c r="M50" t="s">
        <v>86</v>
      </c>
      <c r="N50">
        <v>-52.5</v>
      </c>
      <c r="O50">
        <v>-85.012500000000003</v>
      </c>
      <c r="P50">
        <v>-70.418899999999994</v>
      </c>
      <c r="Q50">
        <v>-79.229100000000003</v>
      </c>
      <c r="R50">
        <v>-98.917500000000004</v>
      </c>
      <c r="S50">
        <v>-55.5807</v>
      </c>
      <c r="T50">
        <v>-75.090500000000006</v>
      </c>
      <c r="U50">
        <v>-70.486500000000007</v>
      </c>
      <c r="V50">
        <v>-36.253300000000003</v>
      </c>
    </row>
    <row r="51" spans="1:22" x14ac:dyDescent="0.35">
      <c r="A51" s="1" t="s">
        <v>57</v>
      </c>
      <c r="B51">
        <v>-66.8</v>
      </c>
      <c r="C51" t="s">
        <v>57</v>
      </c>
      <c r="D51">
        <v>-95.345699999999994</v>
      </c>
      <c r="E51">
        <v>-74.719899999999996</v>
      </c>
      <c r="F51">
        <v>-83.101200000000006</v>
      </c>
      <c r="G51">
        <v>-92.516900000000007</v>
      </c>
      <c r="H51">
        <v>-60.631900000000002</v>
      </c>
      <c r="I51">
        <v>-87.485200000000006</v>
      </c>
      <c r="J51">
        <v>-74.247500000000002</v>
      </c>
      <c r="K51">
        <v>-31.029900000000001</v>
      </c>
      <c r="M51" t="s">
        <v>87</v>
      </c>
      <c r="N51">
        <v>-49.6</v>
      </c>
      <c r="O51">
        <v>-85.074600000000004</v>
      </c>
      <c r="P51">
        <v>-70.647199999999998</v>
      </c>
      <c r="Q51">
        <v>-79.518699999999995</v>
      </c>
      <c r="R51">
        <v>-96.7744</v>
      </c>
      <c r="S51">
        <v>-56.171199999999999</v>
      </c>
      <c r="T51">
        <v>-73.465900000000005</v>
      </c>
      <c r="U51">
        <v>-71.999200000000002</v>
      </c>
      <c r="V51">
        <v>-38.707500000000003</v>
      </c>
    </row>
    <row r="52" spans="1:22" x14ac:dyDescent="0.35">
      <c r="A52" s="1" t="s">
        <v>58</v>
      </c>
      <c r="B52">
        <v>-67.099999999999994</v>
      </c>
      <c r="C52" t="s">
        <v>58</v>
      </c>
      <c r="D52">
        <v>-95.790099999999995</v>
      </c>
      <c r="E52">
        <v>-75.148899999999998</v>
      </c>
      <c r="F52">
        <v>-83.635300000000001</v>
      </c>
      <c r="G52">
        <v>-92.682299999999998</v>
      </c>
      <c r="H52">
        <v>-60.940899999999999</v>
      </c>
      <c r="I52">
        <v>-84.212699999999998</v>
      </c>
      <c r="J52">
        <v>-74.9255</v>
      </c>
      <c r="K52">
        <v>-31.934999999999999</v>
      </c>
      <c r="M52" t="s">
        <v>88</v>
      </c>
      <c r="N52">
        <v>-88.5</v>
      </c>
      <c r="O52">
        <v>-119.0359</v>
      </c>
      <c r="P52">
        <v>-95.170599999999993</v>
      </c>
      <c r="Q52">
        <v>-105.8509</v>
      </c>
      <c r="R52">
        <v>-99.500100000000003</v>
      </c>
      <c r="S52">
        <v>-77.185599999999994</v>
      </c>
      <c r="T52">
        <v>-107.6944</v>
      </c>
      <c r="U52">
        <v>-93.985699999999994</v>
      </c>
      <c r="V52">
        <v>-45.804900000000004</v>
      </c>
    </row>
    <row r="53" spans="1:22" x14ac:dyDescent="0.35">
      <c r="A53" s="1" t="s">
        <v>59</v>
      </c>
      <c r="B53">
        <v>-66</v>
      </c>
      <c r="C53" t="s">
        <v>59</v>
      </c>
      <c r="D53">
        <v>-92.837900000000005</v>
      </c>
      <c r="E53">
        <v>-72.609899999999996</v>
      </c>
      <c r="F53">
        <v>-80.528599999999997</v>
      </c>
      <c r="G53">
        <v>-89.834000000000003</v>
      </c>
      <c r="H53">
        <v>-59.258299999999998</v>
      </c>
      <c r="I53">
        <v>-84.145499999999998</v>
      </c>
      <c r="J53">
        <v>-71.976500000000001</v>
      </c>
      <c r="K53">
        <v>-29.358899999999998</v>
      </c>
      <c r="M53" t="s">
        <v>89</v>
      </c>
      <c r="N53">
        <v>-89.3</v>
      </c>
      <c r="O53">
        <v>-119.3122</v>
      </c>
      <c r="P53">
        <v>-95.369900000000001</v>
      </c>
      <c r="Q53">
        <v>-105.9782</v>
      </c>
      <c r="R53">
        <v>-98.7072</v>
      </c>
      <c r="S53">
        <v>-77.483800000000002</v>
      </c>
      <c r="T53">
        <v>-109.7567</v>
      </c>
      <c r="U53">
        <v>-93.887299999999996</v>
      </c>
      <c r="V53">
        <v>-45.079700000000003</v>
      </c>
    </row>
    <row r="54" spans="1:22" x14ac:dyDescent="0.35">
      <c r="A54" s="1" t="s">
        <v>60</v>
      </c>
      <c r="B54">
        <v>-72.3</v>
      </c>
      <c r="C54" t="s">
        <v>60</v>
      </c>
      <c r="D54">
        <v>-96.614999999999995</v>
      </c>
      <c r="E54">
        <v>-76.187100000000001</v>
      </c>
      <c r="F54">
        <v>-84.667699999999996</v>
      </c>
      <c r="G54">
        <v>-93.753</v>
      </c>
      <c r="H54">
        <v>-61.988399999999999</v>
      </c>
      <c r="I54">
        <v>-86.684700000000007</v>
      </c>
      <c r="J54">
        <v>-76.555899999999994</v>
      </c>
      <c r="K54">
        <v>-33.108400000000003</v>
      </c>
      <c r="M54" t="s">
        <v>90</v>
      </c>
      <c r="N54">
        <v>-89.4</v>
      </c>
      <c r="O54">
        <v>-119.7169</v>
      </c>
      <c r="P54">
        <v>-95.833299999999994</v>
      </c>
      <c r="Q54">
        <v>-106.50449999999999</v>
      </c>
      <c r="R54">
        <v>-98.145399999999995</v>
      </c>
      <c r="S54">
        <v>-77.977400000000003</v>
      </c>
      <c r="T54">
        <v>-112.53870000000001</v>
      </c>
      <c r="U54">
        <v>-93.932000000000002</v>
      </c>
      <c r="V54">
        <v>-44.895099999999999</v>
      </c>
    </row>
    <row r="55" spans="1:22" x14ac:dyDescent="0.35">
      <c r="A55" s="1" t="s">
        <v>61</v>
      </c>
      <c r="B55">
        <f>-74.2</f>
        <v>-74.2</v>
      </c>
      <c r="C55" t="s">
        <v>61</v>
      </c>
      <c r="D55">
        <v>-98.236500000000007</v>
      </c>
      <c r="E55">
        <v>-79.550200000000004</v>
      </c>
      <c r="F55">
        <v>-89.004800000000003</v>
      </c>
      <c r="G55">
        <v>-94.322000000000003</v>
      </c>
      <c r="H55">
        <v>-63.932099999999998</v>
      </c>
      <c r="I55">
        <v>-87.474000000000004</v>
      </c>
      <c r="J55">
        <v>-79.476600000000005</v>
      </c>
      <c r="K55">
        <v>-41.431600000000003</v>
      </c>
      <c r="M55" t="s">
        <v>91</v>
      </c>
      <c r="N55">
        <v>-89.8</v>
      </c>
      <c r="O55">
        <v>-118.76560000000001</v>
      </c>
      <c r="P55">
        <v>-94.865799999999993</v>
      </c>
      <c r="Q55">
        <v>-105.6092</v>
      </c>
      <c r="R55">
        <v>-98.4</v>
      </c>
      <c r="S55">
        <v>-76.568700000000007</v>
      </c>
      <c r="T55">
        <v>-108.1259</v>
      </c>
      <c r="U55">
        <v>-92.692499999999995</v>
      </c>
      <c r="V55">
        <v>-45.090800000000002</v>
      </c>
    </row>
    <row r="56" spans="1:22" x14ac:dyDescent="0.35">
      <c r="A56" s="1" t="s">
        <v>62</v>
      </c>
      <c r="B56">
        <v>-76.2</v>
      </c>
      <c r="C56" t="s">
        <v>62</v>
      </c>
      <c r="D56">
        <v>-98.649600000000007</v>
      </c>
      <c r="E56">
        <v>-79.904899999999998</v>
      </c>
      <c r="F56">
        <v>-89.505799999999994</v>
      </c>
      <c r="G56">
        <v>-95.671800000000005</v>
      </c>
      <c r="H56">
        <v>-64.084699999999998</v>
      </c>
      <c r="I56">
        <v>-89.758399999999995</v>
      </c>
      <c r="J56">
        <v>-79.903999999999996</v>
      </c>
      <c r="K56">
        <v>-42.205399999999997</v>
      </c>
      <c r="M56" t="s">
        <v>92</v>
      </c>
      <c r="N56">
        <v>-59.5</v>
      </c>
      <c r="O56">
        <v>-89.049899999999994</v>
      </c>
      <c r="P56">
        <v>-73.852000000000004</v>
      </c>
      <c r="Q56">
        <v>-83.15</v>
      </c>
      <c r="R56">
        <v>-98.239099999999993</v>
      </c>
      <c r="S56">
        <v>-58.3902</v>
      </c>
      <c r="T56">
        <v>-77.707899999999995</v>
      </c>
      <c r="U56">
        <v>-76.830200000000005</v>
      </c>
      <c r="V56">
        <v>-45.996699999999997</v>
      </c>
    </row>
    <row r="57" spans="1:22" x14ac:dyDescent="0.35">
      <c r="A57" s="1" t="s">
        <v>63</v>
      </c>
      <c r="B57">
        <v>-77.2</v>
      </c>
      <c r="C57" t="s">
        <v>63</v>
      </c>
      <c r="D57">
        <v>-94.901399999999995</v>
      </c>
      <c r="E57">
        <v>-76.596599999999995</v>
      </c>
      <c r="F57">
        <v>-85.790599999999998</v>
      </c>
      <c r="G57">
        <v>-91.482100000000003</v>
      </c>
      <c r="H57">
        <v>-61.687199999999997</v>
      </c>
      <c r="I57">
        <v>-84.622600000000006</v>
      </c>
      <c r="J57">
        <v>-75.983800000000002</v>
      </c>
      <c r="K57">
        <v>-38.0154</v>
      </c>
      <c r="M57" t="s">
        <v>93</v>
      </c>
      <c r="N57">
        <v>-66.5</v>
      </c>
      <c r="O57">
        <v>-87.659599999999998</v>
      </c>
      <c r="P57">
        <v>-72.711399999999998</v>
      </c>
      <c r="Q57">
        <v>-81.875900000000001</v>
      </c>
      <c r="R57">
        <v>-106.5971</v>
      </c>
      <c r="S57">
        <v>-57.2988</v>
      </c>
      <c r="T57">
        <v>-75.588300000000004</v>
      </c>
      <c r="U57">
        <v>-75.229799999999997</v>
      </c>
      <c r="V57">
        <v>-44.968200000000003</v>
      </c>
    </row>
    <row r="58" spans="1:22" x14ac:dyDescent="0.35">
      <c r="A58" s="1" t="s">
        <v>64</v>
      </c>
      <c r="B58">
        <v>-75.5</v>
      </c>
      <c r="C58" t="s">
        <v>64</v>
      </c>
      <c r="D58">
        <v>-95.296700000000001</v>
      </c>
      <c r="E58">
        <v>-77.035899999999998</v>
      </c>
      <c r="F58">
        <v>-86.113699999999994</v>
      </c>
      <c r="G58">
        <v>-91.769400000000005</v>
      </c>
      <c r="H58">
        <v>-62.437199999999997</v>
      </c>
      <c r="I58">
        <v>-84.481200000000001</v>
      </c>
      <c r="J58">
        <v>-76.099100000000007</v>
      </c>
      <c r="K58">
        <v>-37.6006</v>
      </c>
      <c r="M58" t="s">
        <v>94</v>
      </c>
      <c r="N58">
        <v>-58.9</v>
      </c>
      <c r="O58">
        <v>-88.1965</v>
      </c>
      <c r="P58">
        <v>-72.944500000000005</v>
      </c>
      <c r="Q58">
        <v>-82.093299999999999</v>
      </c>
      <c r="R58">
        <v>-107.6521</v>
      </c>
      <c r="S58">
        <v>-57.734200000000001</v>
      </c>
      <c r="T58">
        <v>-78.046700000000001</v>
      </c>
      <c r="U58">
        <v>-75.920100000000005</v>
      </c>
      <c r="V58">
        <v>-45.370100000000001</v>
      </c>
    </row>
    <row r="59" spans="1:22" x14ac:dyDescent="0.35">
      <c r="A59" s="1" t="s">
        <v>65</v>
      </c>
      <c r="B59">
        <v>-79.3</v>
      </c>
      <c r="C59" t="s">
        <v>65</v>
      </c>
      <c r="D59">
        <v>-106.3723</v>
      </c>
      <c r="E59">
        <v>-86.307900000000004</v>
      </c>
      <c r="F59">
        <v>-97.419799999999995</v>
      </c>
      <c r="G59">
        <v>-103.9868</v>
      </c>
      <c r="H59">
        <v>-69.847399999999993</v>
      </c>
      <c r="I59">
        <v>-102.1561</v>
      </c>
      <c r="J59">
        <v>-85.601100000000002</v>
      </c>
      <c r="K59">
        <v>-43.334200000000003</v>
      </c>
      <c r="M59" t="s">
        <v>95</v>
      </c>
      <c r="N59">
        <v>-64.400000000000006</v>
      </c>
      <c r="O59">
        <v>-86.878799999999998</v>
      </c>
      <c r="P59">
        <v>-71.889600000000002</v>
      </c>
      <c r="Q59">
        <v>-81.147800000000004</v>
      </c>
      <c r="R59">
        <v>-106.4915</v>
      </c>
      <c r="S59">
        <v>-56.807000000000002</v>
      </c>
      <c r="T59">
        <v>-74.351500000000001</v>
      </c>
      <c r="U59">
        <v>-74.010499999999993</v>
      </c>
      <c r="V59">
        <v>-43.921100000000003</v>
      </c>
    </row>
    <row r="60" spans="1:22" x14ac:dyDescent="0.35">
      <c r="A60" s="1" t="s">
        <v>66</v>
      </c>
      <c r="B60">
        <v>-76.8</v>
      </c>
      <c r="C60" t="s">
        <v>66</v>
      </c>
      <c r="D60">
        <v>-105.84829999999999</v>
      </c>
      <c r="E60">
        <v>-85.544700000000006</v>
      </c>
      <c r="F60">
        <v>-96.391400000000004</v>
      </c>
      <c r="G60">
        <v>-104.04340000000001</v>
      </c>
      <c r="H60">
        <v>-68.827799999999996</v>
      </c>
      <c r="I60">
        <v>-94.606300000000005</v>
      </c>
      <c r="J60">
        <v>-84.722300000000004</v>
      </c>
      <c r="K60">
        <v>-41.826900000000002</v>
      </c>
      <c r="M60" t="s">
        <v>96</v>
      </c>
      <c r="N60">
        <v>-71.900000000000006</v>
      </c>
      <c r="O60">
        <v>-108.7187</v>
      </c>
      <c r="P60">
        <v>-89.550799999999995</v>
      </c>
      <c r="Q60">
        <v>-100.2912</v>
      </c>
      <c r="R60">
        <v>-106.41379999999999</v>
      </c>
      <c r="S60">
        <v>-72.298100000000005</v>
      </c>
      <c r="T60">
        <v>-95.764099999999999</v>
      </c>
      <c r="U60">
        <v>-90.672399999999996</v>
      </c>
      <c r="V60">
        <v>-44.615000000000002</v>
      </c>
    </row>
    <row r="61" spans="1:22" x14ac:dyDescent="0.35">
      <c r="A61" s="1" t="s">
        <v>67</v>
      </c>
      <c r="B61">
        <v>-73.900000000000006</v>
      </c>
      <c r="C61" t="s">
        <v>67</v>
      </c>
      <c r="D61">
        <v>-105.54810000000001</v>
      </c>
      <c r="E61">
        <v>-85.298500000000004</v>
      </c>
      <c r="F61">
        <v>-96.120999999999995</v>
      </c>
      <c r="G61">
        <v>-103.7229</v>
      </c>
      <c r="H61">
        <v>-68.623099999999994</v>
      </c>
      <c r="I61">
        <v>-101.417</v>
      </c>
      <c r="J61">
        <v>-84.278700000000001</v>
      </c>
      <c r="K61">
        <v>-42.123899999999999</v>
      </c>
      <c r="M61" t="s">
        <v>97</v>
      </c>
      <c r="N61">
        <v>-76.5</v>
      </c>
      <c r="O61">
        <v>-108.9833</v>
      </c>
      <c r="P61">
        <v>-89.953400000000002</v>
      </c>
      <c r="Q61">
        <v>-100.6476</v>
      </c>
      <c r="R61">
        <v>-108.221</v>
      </c>
      <c r="S61">
        <v>-72.948999999999998</v>
      </c>
      <c r="T61">
        <v>-102.2111</v>
      </c>
      <c r="U61">
        <v>-90.650400000000005</v>
      </c>
      <c r="V61">
        <v>-51.953299999999999</v>
      </c>
    </row>
    <row r="62" spans="1:22" x14ac:dyDescent="0.35">
      <c r="A62" s="1" t="s">
        <v>68</v>
      </c>
      <c r="B62">
        <v>-74</v>
      </c>
      <c r="C62" t="s">
        <v>68</v>
      </c>
      <c r="D62">
        <v>-105.7778</v>
      </c>
      <c r="E62">
        <v>-85.428100000000001</v>
      </c>
      <c r="F62">
        <v>-96.0274</v>
      </c>
      <c r="G62">
        <v>-103.7197</v>
      </c>
      <c r="H62">
        <v>-69.005700000000004</v>
      </c>
      <c r="I62">
        <v>-97.145600000000002</v>
      </c>
      <c r="J62">
        <v>-84.601500000000001</v>
      </c>
      <c r="K62">
        <v>-41.663600000000002</v>
      </c>
      <c r="M62" t="s">
        <v>98</v>
      </c>
      <c r="N62">
        <v>-70.7</v>
      </c>
      <c r="O62">
        <v>-108.1315</v>
      </c>
      <c r="P62">
        <v>-88.814899999999994</v>
      </c>
      <c r="Q62">
        <v>-99.480500000000006</v>
      </c>
      <c r="R62">
        <v>-113.45569999999999</v>
      </c>
      <c r="S62">
        <v>-71.8673</v>
      </c>
      <c r="T62">
        <v>-99.793800000000005</v>
      </c>
      <c r="U62">
        <v>-89.598299999999995</v>
      </c>
      <c r="V62">
        <v>-51.379899999999999</v>
      </c>
    </row>
    <row r="63" spans="1:22" x14ac:dyDescent="0.35">
      <c r="A63" s="1" t="s">
        <v>69</v>
      </c>
      <c r="B63">
        <v>-76.599999999999994</v>
      </c>
      <c r="C63" t="s">
        <v>69</v>
      </c>
      <c r="D63">
        <v>-105.9785</v>
      </c>
      <c r="E63">
        <v>-85.736699999999999</v>
      </c>
      <c r="F63">
        <v>-96.194299999999998</v>
      </c>
      <c r="G63">
        <v>-104.5187</v>
      </c>
      <c r="H63">
        <v>-69.608800000000002</v>
      </c>
      <c r="I63">
        <v>-94.424599999999998</v>
      </c>
      <c r="J63">
        <v>-84.974599999999995</v>
      </c>
      <c r="K63">
        <v>-41.5229</v>
      </c>
      <c r="M63" s="1" t="s">
        <v>33</v>
      </c>
      <c r="N63">
        <v>-77.400000000000006</v>
      </c>
      <c r="O63">
        <v>-106.87479999999999</v>
      </c>
      <c r="P63">
        <v>-86.100399999999993</v>
      </c>
      <c r="Q63">
        <v>-96.551299999999998</v>
      </c>
      <c r="R63">
        <v>-113.8366</v>
      </c>
      <c r="S63">
        <v>-69.202500000000001</v>
      </c>
      <c r="T63">
        <v>-100.9984</v>
      </c>
      <c r="U63">
        <v>-85.603300000000004</v>
      </c>
      <c r="V63">
        <v>-51.8767</v>
      </c>
    </row>
    <row r="64" spans="1:22" x14ac:dyDescent="0.35">
      <c r="A64" s="1" t="s">
        <v>70</v>
      </c>
      <c r="B64">
        <v>-82.9</v>
      </c>
      <c r="C64" t="s">
        <v>70</v>
      </c>
      <c r="D64">
        <v>-113.4105</v>
      </c>
      <c r="E64">
        <v>-92.289400000000001</v>
      </c>
      <c r="F64">
        <v>-103.6862</v>
      </c>
      <c r="G64">
        <v>-110.3811</v>
      </c>
      <c r="H64">
        <v>-74.7988</v>
      </c>
      <c r="I64">
        <v>-106.8579</v>
      </c>
      <c r="J64">
        <v>-91.106300000000005</v>
      </c>
      <c r="K64">
        <v>-48.0319</v>
      </c>
      <c r="M64" s="1" t="s">
        <v>34</v>
      </c>
      <c r="N64">
        <v>-72.8</v>
      </c>
      <c r="O64">
        <v>-105.81319999999999</v>
      </c>
      <c r="P64">
        <v>-84.872200000000007</v>
      </c>
      <c r="Q64">
        <v>-95.054699999999997</v>
      </c>
      <c r="R64">
        <v>-113.28919999999999</v>
      </c>
      <c r="S64">
        <v>-68.424199999999999</v>
      </c>
      <c r="T64">
        <v>-95.531499999999994</v>
      </c>
      <c r="U64">
        <v>-84.507199999999997</v>
      </c>
      <c r="V64">
        <v>-52.1143</v>
      </c>
    </row>
    <row r="65" spans="1:22" x14ac:dyDescent="0.35">
      <c r="A65" s="1" t="s">
        <v>71</v>
      </c>
      <c r="B65">
        <v>-81</v>
      </c>
      <c r="C65" t="s">
        <v>71</v>
      </c>
      <c r="D65">
        <v>-113.6618</v>
      </c>
      <c r="E65">
        <v>-92.154300000000006</v>
      </c>
      <c r="F65">
        <v>-103.33450000000001</v>
      </c>
      <c r="G65">
        <v>-110.172</v>
      </c>
      <c r="H65">
        <v>-74.157600000000002</v>
      </c>
      <c r="I65">
        <v>-103.9999</v>
      </c>
      <c r="J65">
        <v>-91.241600000000005</v>
      </c>
      <c r="K65">
        <v>-48.300400000000003</v>
      </c>
      <c r="M65" s="1" t="s">
        <v>35</v>
      </c>
      <c r="N65">
        <v>-72.3</v>
      </c>
      <c r="O65">
        <v>-106.70050000000001</v>
      </c>
      <c r="P65">
        <v>-86.019499999999994</v>
      </c>
      <c r="Q65">
        <v>-96.760599999999997</v>
      </c>
      <c r="R65">
        <v>-114.2081</v>
      </c>
      <c r="S65">
        <v>-69.425399999999996</v>
      </c>
      <c r="T65">
        <v>-97.246499999999997</v>
      </c>
      <c r="U65">
        <v>-85.784300000000002</v>
      </c>
      <c r="V65">
        <v>-51.834299999999999</v>
      </c>
    </row>
    <row r="66" spans="1:22" x14ac:dyDescent="0.35">
      <c r="A66" s="1" t="s">
        <v>72</v>
      </c>
      <c r="B66">
        <v>-81.099999999999994</v>
      </c>
      <c r="C66" t="s">
        <v>72</v>
      </c>
      <c r="D66">
        <v>-112.723</v>
      </c>
      <c r="E66">
        <v>-91.468299999999999</v>
      </c>
      <c r="F66">
        <v>-102.9367</v>
      </c>
      <c r="G66">
        <v>-109.64449999999999</v>
      </c>
      <c r="H66">
        <v>-73.215100000000007</v>
      </c>
      <c r="I66">
        <v>-107.1048</v>
      </c>
      <c r="J66">
        <v>-90.608000000000004</v>
      </c>
      <c r="K66">
        <v>-48.153300000000002</v>
      </c>
      <c r="M66" s="1" t="s">
        <v>37</v>
      </c>
      <c r="N66">
        <v>-58.1</v>
      </c>
      <c r="O66">
        <v>-91.585599999999999</v>
      </c>
      <c r="P66">
        <v>-73.938500000000005</v>
      </c>
      <c r="Q66">
        <v>-82.742699999999999</v>
      </c>
      <c r="R66">
        <v>-114.65179999999999</v>
      </c>
      <c r="S66">
        <v>-59.414299999999997</v>
      </c>
      <c r="T66">
        <v>-84.554299999999998</v>
      </c>
      <c r="U66">
        <v>-76.644199999999998</v>
      </c>
      <c r="V66">
        <v>-49.328600000000002</v>
      </c>
    </row>
    <row r="67" spans="1:22" x14ac:dyDescent="0.35">
      <c r="A67" s="1" t="s">
        <v>73</v>
      </c>
      <c r="B67">
        <v>-78.2</v>
      </c>
      <c r="C67" t="s">
        <v>73</v>
      </c>
      <c r="D67">
        <v>-111.95569999999999</v>
      </c>
      <c r="E67">
        <v>-90.668300000000002</v>
      </c>
      <c r="F67">
        <v>-101.9648</v>
      </c>
      <c r="G67">
        <v>-108.3646</v>
      </c>
      <c r="H67">
        <v>-72.729299999999995</v>
      </c>
      <c r="I67">
        <v>-107.3871</v>
      </c>
      <c r="J67">
        <v>-89.264399999999995</v>
      </c>
      <c r="K67">
        <v>-45.617400000000004</v>
      </c>
      <c r="M67" s="1" t="s">
        <v>38</v>
      </c>
      <c r="N67">
        <v>-57.4</v>
      </c>
      <c r="O67">
        <v>-91.84</v>
      </c>
      <c r="P67">
        <v>-74.297899999999998</v>
      </c>
      <c r="Q67">
        <v>-83.147300000000001</v>
      </c>
      <c r="R67">
        <v>-102.4522</v>
      </c>
      <c r="S67">
        <v>-59.993000000000002</v>
      </c>
      <c r="T67">
        <v>-81.208699999999993</v>
      </c>
      <c r="U67">
        <v>-77.024699999999996</v>
      </c>
      <c r="V67">
        <v>-47.690600000000003</v>
      </c>
    </row>
    <row r="68" spans="1:22" x14ac:dyDescent="0.35">
      <c r="A68" s="1" t="s">
        <v>74</v>
      </c>
      <c r="B68">
        <v>-78.7</v>
      </c>
      <c r="C68" t="s">
        <v>74</v>
      </c>
      <c r="D68">
        <v>-113.0204</v>
      </c>
      <c r="E68">
        <v>-91.662999999999997</v>
      </c>
      <c r="F68">
        <v>-102.9914</v>
      </c>
      <c r="G68">
        <v>-110.43980000000001</v>
      </c>
      <c r="H68">
        <v>-73.421300000000002</v>
      </c>
      <c r="I68">
        <v>-100.6849</v>
      </c>
      <c r="J68">
        <v>-91.106800000000007</v>
      </c>
      <c r="K68">
        <v>-47.914299999999997</v>
      </c>
      <c r="M68" s="1" t="s">
        <v>39</v>
      </c>
      <c r="N68">
        <v>-63</v>
      </c>
      <c r="O68">
        <v>-91.200900000000004</v>
      </c>
      <c r="P68">
        <v>-73.728099999999998</v>
      </c>
      <c r="Q68">
        <v>-82.472200000000001</v>
      </c>
      <c r="R68">
        <v>-100.78230000000001</v>
      </c>
      <c r="S68">
        <v>-59.395200000000003</v>
      </c>
      <c r="T68">
        <v>-80.120500000000007</v>
      </c>
      <c r="U68">
        <v>-76.292900000000003</v>
      </c>
      <c r="V68">
        <v>-49.078299999999999</v>
      </c>
    </row>
    <row r="69" spans="1:22" x14ac:dyDescent="0.35">
      <c r="A69" s="1" t="s">
        <v>75</v>
      </c>
      <c r="B69">
        <v>-74.5</v>
      </c>
      <c r="C69" t="s">
        <v>75</v>
      </c>
      <c r="D69">
        <v>-99.195899999999995</v>
      </c>
      <c r="E69">
        <v>-81.1143</v>
      </c>
      <c r="F69">
        <v>-90.937700000000007</v>
      </c>
      <c r="G69">
        <v>-94.167299999999997</v>
      </c>
      <c r="H69">
        <v>-65.541300000000007</v>
      </c>
      <c r="I69">
        <v>-85.272000000000006</v>
      </c>
      <c r="J69">
        <v>-79.518699999999995</v>
      </c>
      <c r="K69">
        <v>-41.209800000000001</v>
      </c>
      <c r="M69" s="1" t="s">
        <v>40</v>
      </c>
      <c r="N69">
        <v>-59.1</v>
      </c>
      <c r="O69">
        <v>-91.732600000000005</v>
      </c>
      <c r="P69">
        <v>-74.177999999999997</v>
      </c>
      <c r="Q69">
        <v>-83.194699999999997</v>
      </c>
      <c r="R69">
        <v>-102.4243</v>
      </c>
      <c r="S69">
        <v>-60.0075</v>
      </c>
      <c r="T69">
        <v>-83.894199999999998</v>
      </c>
      <c r="U69">
        <v>-76.536699999999996</v>
      </c>
      <c r="V69">
        <v>-47.994700000000002</v>
      </c>
    </row>
    <row r="70" spans="1:22" x14ac:dyDescent="0.35">
      <c r="A70" s="1" t="s">
        <v>76</v>
      </c>
      <c r="B70">
        <v>-74.099999999999994</v>
      </c>
      <c r="C70" t="s">
        <v>76</v>
      </c>
      <c r="D70">
        <v>-99.797899999999998</v>
      </c>
      <c r="E70">
        <v>-81.636099999999999</v>
      </c>
      <c r="F70">
        <v>-91.878500000000003</v>
      </c>
      <c r="G70">
        <v>-94.509500000000003</v>
      </c>
      <c r="H70">
        <v>-65.349100000000007</v>
      </c>
      <c r="I70">
        <v>-86.340400000000002</v>
      </c>
      <c r="J70">
        <v>-79.297700000000006</v>
      </c>
      <c r="K70">
        <v>-40.703299999999999</v>
      </c>
      <c r="M70" s="1" t="s">
        <v>41</v>
      </c>
      <c r="N70">
        <v>-58.9</v>
      </c>
      <c r="O70">
        <v>-92.341499999999996</v>
      </c>
      <c r="P70">
        <v>-74.510800000000003</v>
      </c>
      <c r="Q70">
        <v>-83.458500000000001</v>
      </c>
      <c r="R70">
        <v>-102.5076</v>
      </c>
      <c r="S70">
        <v>-59.932699999999997</v>
      </c>
      <c r="T70">
        <v>-85.712599999999995</v>
      </c>
      <c r="U70">
        <v>-76.985699999999994</v>
      </c>
      <c r="V70">
        <v>-47.843200000000003</v>
      </c>
    </row>
    <row r="71" spans="1:22" x14ac:dyDescent="0.35">
      <c r="A71" s="1" t="s">
        <v>77</v>
      </c>
      <c r="B71">
        <v>-74.7</v>
      </c>
      <c r="C71" t="s">
        <v>77</v>
      </c>
      <c r="D71">
        <v>-103.1811</v>
      </c>
      <c r="E71">
        <v>-84.786600000000007</v>
      </c>
      <c r="F71">
        <v>-95.460599999999999</v>
      </c>
      <c r="G71">
        <v>-98.612799999999993</v>
      </c>
      <c r="H71">
        <v>-68.298699999999997</v>
      </c>
      <c r="I71">
        <v>-95.101500000000001</v>
      </c>
      <c r="J71">
        <v>-83.427999999999997</v>
      </c>
      <c r="K71">
        <v>-45.0899</v>
      </c>
      <c r="M71" s="1" t="s">
        <v>42</v>
      </c>
      <c r="N71">
        <v>-72.3</v>
      </c>
      <c r="O71">
        <v>-113.7079</v>
      </c>
      <c r="P71">
        <v>-92.566599999999994</v>
      </c>
      <c r="Q71">
        <v>-103.6915</v>
      </c>
      <c r="R71">
        <v>-108.25149999999999</v>
      </c>
      <c r="S71">
        <v>-74.183099999999996</v>
      </c>
      <c r="T71">
        <v>-103.98820000000001</v>
      </c>
      <c r="U71">
        <v>-91.204400000000007</v>
      </c>
      <c r="V71">
        <v>-47.6098</v>
      </c>
    </row>
    <row r="72" spans="1:22" x14ac:dyDescent="0.35">
      <c r="A72" s="1" t="s">
        <v>78</v>
      </c>
      <c r="B72">
        <v>-75</v>
      </c>
      <c r="C72" t="s">
        <v>78</v>
      </c>
      <c r="D72">
        <v>-101.77630000000001</v>
      </c>
      <c r="E72">
        <v>-83.4392</v>
      </c>
      <c r="F72">
        <v>-93.643600000000006</v>
      </c>
      <c r="G72">
        <v>-96.990799999999993</v>
      </c>
      <c r="H72">
        <v>-66.9011</v>
      </c>
      <c r="I72">
        <v>-90.035799999999995</v>
      </c>
      <c r="J72">
        <v>-82.269099999999995</v>
      </c>
      <c r="K72">
        <v>-43.500700000000002</v>
      </c>
      <c r="M72" s="1" t="s">
        <v>43</v>
      </c>
      <c r="N72">
        <v>-74</v>
      </c>
      <c r="O72">
        <v>-113.22369999999999</v>
      </c>
      <c r="P72">
        <v>-92.170400000000001</v>
      </c>
      <c r="Q72">
        <v>-103.23</v>
      </c>
      <c r="R72">
        <v>-108.5861</v>
      </c>
      <c r="S72">
        <v>-74.203999999999994</v>
      </c>
      <c r="T72">
        <v>-103.6421</v>
      </c>
      <c r="U72">
        <v>-91.599900000000005</v>
      </c>
      <c r="V72">
        <v>-46.803400000000003</v>
      </c>
    </row>
    <row r="73" spans="1:22" x14ac:dyDescent="0.35">
      <c r="A73" s="1" t="s">
        <v>79</v>
      </c>
      <c r="B73">
        <v>-77.2</v>
      </c>
      <c r="C73" t="s">
        <v>79</v>
      </c>
      <c r="D73">
        <v>-109.95569999999999</v>
      </c>
      <c r="E73">
        <v>-88.637</v>
      </c>
      <c r="F73">
        <v>-99.424199999999999</v>
      </c>
      <c r="G73">
        <v>-105.28870000000001</v>
      </c>
      <c r="H73">
        <v>-70.48</v>
      </c>
      <c r="I73">
        <v>-104.97969999999999</v>
      </c>
      <c r="J73">
        <v>-87.910700000000006</v>
      </c>
      <c r="K73">
        <v>-45.544800000000002</v>
      </c>
      <c r="M73" s="1" t="s">
        <v>44</v>
      </c>
      <c r="N73">
        <v>-75.2</v>
      </c>
      <c r="O73">
        <v>-113.2709</v>
      </c>
      <c r="P73">
        <v>-92.228200000000001</v>
      </c>
      <c r="Q73">
        <v>-103.395</v>
      </c>
      <c r="R73">
        <v>-108.07859999999999</v>
      </c>
      <c r="S73">
        <v>-74.297799999999995</v>
      </c>
      <c r="T73">
        <v>-101.94540000000001</v>
      </c>
      <c r="U73">
        <v>-91.398899999999998</v>
      </c>
      <c r="V73">
        <v>-47.293100000000003</v>
      </c>
    </row>
    <row r="74" spans="1:22" x14ac:dyDescent="0.35">
      <c r="A74" s="1" t="s">
        <v>80</v>
      </c>
      <c r="B74">
        <v>-75.8</v>
      </c>
      <c r="C74" t="s">
        <v>80</v>
      </c>
      <c r="D74">
        <v>-107.8818</v>
      </c>
      <c r="E74">
        <v>-86.714200000000005</v>
      </c>
      <c r="F74">
        <v>-97.232900000000001</v>
      </c>
      <c r="G74">
        <v>-104.20659999999999</v>
      </c>
      <c r="H74">
        <v>-69.025599999999997</v>
      </c>
      <c r="I74">
        <v>-95.133499999999998</v>
      </c>
      <c r="J74">
        <v>-86.521100000000004</v>
      </c>
      <c r="K74">
        <v>-44.057899999999997</v>
      </c>
      <c r="M74" s="1" t="s">
        <v>45</v>
      </c>
      <c r="N74">
        <v>-76.900000000000006</v>
      </c>
      <c r="O74">
        <v>-111.3516</v>
      </c>
      <c r="P74">
        <v>-90.496099999999998</v>
      </c>
      <c r="Q74">
        <v>-101.6751</v>
      </c>
      <c r="R74">
        <v>-109.4161</v>
      </c>
      <c r="S74">
        <v>-72.471299999999999</v>
      </c>
      <c r="T74">
        <v>-97.185500000000005</v>
      </c>
      <c r="U74">
        <v>-89.097399999999993</v>
      </c>
      <c r="V74">
        <v>-47.446800000000003</v>
      </c>
    </row>
    <row r="75" spans="1:22" x14ac:dyDescent="0.35">
      <c r="A75" s="1" t="s">
        <v>81</v>
      </c>
      <c r="B75">
        <v>-78.599999999999994</v>
      </c>
      <c r="C75" t="s">
        <v>81</v>
      </c>
      <c r="D75">
        <v>-109.49720000000001</v>
      </c>
      <c r="E75">
        <v>-88.104200000000006</v>
      </c>
      <c r="F75">
        <v>-98.762</v>
      </c>
      <c r="G75">
        <v>-105.67010000000001</v>
      </c>
      <c r="H75">
        <v>-69.904499999999999</v>
      </c>
      <c r="I75">
        <v>-102.8784</v>
      </c>
      <c r="J75">
        <v>-86.991200000000006</v>
      </c>
      <c r="K75">
        <v>-44.4773</v>
      </c>
      <c r="M75" s="1" t="s">
        <v>46</v>
      </c>
      <c r="N75">
        <v>-69.400000000000006</v>
      </c>
      <c r="O75">
        <v>-111.9327</v>
      </c>
      <c r="P75">
        <v>-91.045500000000004</v>
      </c>
      <c r="Q75">
        <v>-102.2137</v>
      </c>
      <c r="R75">
        <v>-109.554</v>
      </c>
      <c r="S75">
        <v>-73.087800000000001</v>
      </c>
      <c r="T75">
        <v>-102.348</v>
      </c>
      <c r="U75">
        <v>-89.688500000000005</v>
      </c>
      <c r="V75">
        <v>-40.378</v>
      </c>
    </row>
    <row r="76" spans="1:22" x14ac:dyDescent="0.35">
      <c r="A76" s="1" t="s">
        <v>82</v>
      </c>
      <c r="B76">
        <v>-77.3</v>
      </c>
      <c r="C76" t="s">
        <v>82</v>
      </c>
      <c r="D76">
        <v>-108.6717</v>
      </c>
      <c r="E76">
        <v>-87.387600000000006</v>
      </c>
      <c r="F76">
        <v>-97.969200000000001</v>
      </c>
      <c r="G76">
        <v>-106.1504</v>
      </c>
      <c r="H76">
        <v>-69.356499999999997</v>
      </c>
      <c r="I76">
        <v>-98.837699999999998</v>
      </c>
      <c r="J76">
        <v>-86.9161</v>
      </c>
      <c r="K76">
        <v>-44.077300000000001</v>
      </c>
      <c r="M76" s="1" t="s">
        <v>47</v>
      </c>
      <c r="N76">
        <v>-72.400000000000006</v>
      </c>
      <c r="O76">
        <v>-112.03959999999999</v>
      </c>
      <c r="P76">
        <v>-91.159400000000005</v>
      </c>
      <c r="Q76">
        <v>-102.64149999999999</v>
      </c>
      <c r="R76">
        <v>-79.289000000000001</v>
      </c>
      <c r="S76">
        <v>-73.025599999999997</v>
      </c>
      <c r="T76">
        <v>-105.5699</v>
      </c>
      <c r="U76">
        <v>-89.997900000000001</v>
      </c>
      <c r="V76">
        <v>-42.529699999999998</v>
      </c>
    </row>
    <row r="77" spans="1:22" x14ac:dyDescent="0.35">
      <c r="A77" s="1" t="s">
        <v>83</v>
      </c>
      <c r="B77">
        <v>-79.400000000000006</v>
      </c>
      <c r="C77" t="s">
        <v>83</v>
      </c>
      <c r="D77">
        <v>-108.0882</v>
      </c>
      <c r="E77">
        <v>-86.842600000000004</v>
      </c>
      <c r="F77">
        <v>-97.150300000000001</v>
      </c>
      <c r="G77">
        <v>-104.5095</v>
      </c>
      <c r="H77">
        <v>-69.381900000000002</v>
      </c>
      <c r="I77">
        <v>-98.085899999999995</v>
      </c>
      <c r="J77">
        <v>-85.800799999999995</v>
      </c>
      <c r="K77">
        <v>-42.958599999999997</v>
      </c>
      <c r="M77" s="1" t="s">
        <v>48</v>
      </c>
      <c r="N77">
        <v>-71.8</v>
      </c>
      <c r="O77">
        <v>-111.8689</v>
      </c>
      <c r="P77">
        <v>-90.738500000000002</v>
      </c>
      <c r="Q77">
        <v>-101.86360000000001</v>
      </c>
      <c r="R77">
        <v>-81.579599999999999</v>
      </c>
      <c r="S77">
        <v>-72.5672</v>
      </c>
      <c r="T77">
        <v>-97.908900000000003</v>
      </c>
      <c r="U77">
        <v>-89.6203</v>
      </c>
      <c r="V77">
        <v>-41.249699999999997</v>
      </c>
    </row>
    <row r="78" spans="1:22" x14ac:dyDescent="0.35">
      <c r="A78" s="1" t="s">
        <v>84</v>
      </c>
      <c r="B78">
        <v>-52.3</v>
      </c>
      <c r="C78" t="s">
        <v>84</v>
      </c>
      <c r="D78">
        <v>-79.158600000000007</v>
      </c>
      <c r="E78">
        <v>-65.132800000000003</v>
      </c>
      <c r="F78">
        <v>-73.271000000000001</v>
      </c>
      <c r="G78">
        <v>-73.357600000000005</v>
      </c>
      <c r="H78">
        <v>-50.813299999999998</v>
      </c>
      <c r="I78">
        <v>-73.722200000000001</v>
      </c>
      <c r="J78">
        <v>-63.725299999999997</v>
      </c>
      <c r="K78">
        <v>-34.090699999999998</v>
      </c>
      <c r="M78" s="1" t="s">
        <v>49</v>
      </c>
      <c r="N78">
        <v>-61.8</v>
      </c>
      <c r="O78">
        <v>-93.742500000000007</v>
      </c>
      <c r="P78">
        <v>-73.329899999999995</v>
      </c>
      <c r="Q78">
        <v>-81.228300000000004</v>
      </c>
      <c r="R78">
        <v>-81.002600000000001</v>
      </c>
      <c r="S78">
        <v>-58.654699999999998</v>
      </c>
      <c r="T78">
        <v>-81.689700000000002</v>
      </c>
      <c r="U78">
        <v>-77.838700000000003</v>
      </c>
      <c r="V78">
        <v>-42.941499999999998</v>
      </c>
    </row>
    <row r="79" spans="1:22" x14ac:dyDescent="0.35">
      <c r="A79" s="1" t="s">
        <v>85</v>
      </c>
      <c r="B79">
        <v>-50.1</v>
      </c>
      <c r="C79" t="s">
        <v>85</v>
      </c>
      <c r="D79">
        <v>-82.708399999999997</v>
      </c>
      <c r="E79">
        <v>-68.469899999999996</v>
      </c>
      <c r="F79">
        <v>-77.045299999999997</v>
      </c>
      <c r="G79">
        <v>-78.448300000000003</v>
      </c>
      <c r="H79">
        <v>-53.3996</v>
      </c>
      <c r="I79">
        <v>-74.276300000000006</v>
      </c>
      <c r="J79">
        <v>-67.900800000000004</v>
      </c>
      <c r="K79">
        <v>-38.004800000000003</v>
      </c>
      <c r="M79" s="1" t="s">
        <v>50</v>
      </c>
      <c r="N79">
        <v>-67.2</v>
      </c>
      <c r="O79">
        <v>-92.303899999999999</v>
      </c>
      <c r="P79">
        <v>-72.1203</v>
      </c>
      <c r="Q79">
        <v>-79.996899999999997</v>
      </c>
      <c r="R79">
        <v>-82.027199999999993</v>
      </c>
      <c r="S79">
        <v>-57.733199999999997</v>
      </c>
      <c r="T79">
        <v>-81.906599999999997</v>
      </c>
      <c r="U79">
        <v>-76.3857</v>
      </c>
      <c r="V79">
        <v>-45.028300000000002</v>
      </c>
    </row>
    <row r="80" spans="1:22" x14ac:dyDescent="0.35">
      <c r="A80" s="1" t="s">
        <v>86</v>
      </c>
      <c r="B80">
        <v>-52.5</v>
      </c>
      <c r="C80" t="s">
        <v>86</v>
      </c>
      <c r="D80">
        <v>-80.261300000000006</v>
      </c>
      <c r="E80">
        <v>-66.143299999999996</v>
      </c>
      <c r="F80">
        <v>-74.234200000000001</v>
      </c>
      <c r="G80">
        <v>-76.041399999999996</v>
      </c>
      <c r="H80">
        <v>-52.116</v>
      </c>
      <c r="I80">
        <v>-71.870400000000004</v>
      </c>
      <c r="J80">
        <v>-64.983500000000006</v>
      </c>
      <c r="K80">
        <v>-35.105600000000003</v>
      </c>
      <c r="M80" s="1" t="s">
        <v>51</v>
      </c>
      <c r="N80">
        <v>-65.400000000000006</v>
      </c>
      <c r="O80">
        <v>-92.741500000000002</v>
      </c>
      <c r="P80">
        <v>-72.582300000000004</v>
      </c>
      <c r="Q80">
        <v>-80.576700000000002</v>
      </c>
      <c r="R80">
        <v>-115.9851</v>
      </c>
      <c r="S80">
        <v>-58.100499999999997</v>
      </c>
      <c r="T80">
        <v>-82.096599999999995</v>
      </c>
      <c r="U80">
        <v>-76.362499999999997</v>
      </c>
      <c r="V80">
        <v>-44.924900000000001</v>
      </c>
    </row>
    <row r="81" spans="1:22" x14ac:dyDescent="0.35">
      <c r="A81" s="1" t="s">
        <v>87</v>
      </c>
      <c r="B81">
        <v>-49.6</v>
      </c>
      <c r="C81" t="s">
        <v>87</v>
      </c>
      <c r="D81">
        <v>-80.9452</v>
      </c>
      <c r="E81">
        <v>-66.852099999999993</v>
      </c>
      <c r="F81">
        <v>-75.149199999999993</v>
      </c>
      <c r="G81">
        <v>-77.058099999999996</v>
      </c>
      <c r="H81">
        <v>-52.919600000000003</v>
      </c>
      <c r="I81">
        <v>-71.820899999999995</v>
      </c>
      <c r="J81">
        <v>-67.322199999999995</v>
      </c>
      <c r="K81">
        <v>-36.887599999999999</v>
      </c>
      <c r="M81" s="1" t="s">
        <v>52</v>
      </c>
      <c r="N81">
        <v>-66.400000000000006</v>
      </c>
      <c r="O81">
        <v>-94.073400000000007</v>
      </c>
      <c r="P81">
        <v>-74.086100000000002</v>
      </c>
      <c r="Q81">
        <v>-82.372399999999999</v>
      </c>
      <c r="R81">
        <v>-115.8858</v>
      </c>
      <c r="S81">
        <v>-59.597499999999997</v>
      </c>
      <c r="T81">
        <v>-87.979500000000002</v>
      </c>
      <c r="U81">
        <v>-78.426199999999994</v>
      </c>
      <c r="V81">
        <v>-45.329000000000001</v>
      </c>
    </row>
    <row r="82" spans="1:22" x14ac:dyDescent="0.35">
      <c r="A82" s="1" t="s">
        <v>88</v>
      </c>
      <c r="B82">
        <v>-88.5</v>
      </c>
      <c r="C82" t="s">
        <v>88</v>
      </c>
      <c r="D82">
        <v>-112.6973</v>
      </c>
      <c r="E82">
        <v>-89.544600000000003</v>
      </c>
      <c r="F82">
        <v>-99.627600000000001</v>
      </c>
      <c r="G82">
        <v>-109.13890000000001</v>
      </c>
      <c r="H82">
        <v>-73.011700000000005</v>
      </c>
      <c r="I82">
        <v>-104.6943</v>
      </c>
      <c r="J82">
        <v>-87.600899999999996</v>
      </c>
      <c r="K82">
        <v>-39.050400000000003</v>
      </c>
      <c r="M82" s="1" t="s">
        <v>53</v>
      </c>
      <c r="N82">
        <v>-48.1</v>
      </c>
      <c r="O82">
        <v>-92.634900000000002</v>
      </c>
      <c r="P82">
        <v>-75.891900000000007</v>
      </c>
      <c r="Q82">
        <v>-85.511700000000005</v>
      </c>
      <c r="R82">
        <v>-116.1562</v>
      </c>
      <c r="S82">
        <v>-61.304200000000002</v>
      </c>
      <c r="T82">
        <v>-83.153199999999998</v>
      </c>
      <c r="U82">
        <v>-77.537099999999995</v>
      </c>
      <c r="V82">
        <v>-44.275100000000002</v>
      </c>
    </row>
    <row r="83" spans="1:22" x14ac:dyDescent="0.35">
      <c r="A83" s="1" t="s">
        <v>89</v>
      </c>
      <c r="B83">
        <v>-89.3</v>
      </c>
      <c r="C83" t="s">
        <v>89</v>
      </c>
      <c r="D83">
        <v>-115.1234</v>
      </c>
      <c r="E83">
        <v>-91.6494</v>
      </c>
      <c r="F83">
        <v>-101.8013</v>
      </c>
      <c r="G83">
        <v>-111.3152</v>
      </c>
      <c r="H83">
        <v>-74.658299999999997</v>
      </c>
      <c r="I83">
        <v>-104.4093</v>
      </c>
      <c r="J83">
        <v>-89.270799999999994</v>
      </c>
      <c r="K83">
        <v>-40.619199999999999</v>
      </c>
      <c r="M83" s="1" t="s">
        <v>54</v>
      </c>
      <c r="N83">
        <v>-53.7</v>
      </c>
      <c r="O83">
        <v>-92.622799999999998</v>
      </c>
      <c r="P83">
        <v>-75.996399999999994</v>
      </c>
      <c r="Q83">
        <v>-85.800899999999999</v>
      </c>
      <c r="R83">
        <v>-115.0899</v>
      </c>
      <c r="S83">
        <v>-61.126899999999999</v>
      </c>
      <c r="T83">
        <v>-78.884600000000006</v>
      </c>
      <c r="U83">
        <v>-78.856499999999997</v>
      </c>
      <c r="V83">
        <v>-46.993699999999997</v>
      </c>
    </row>
    <row r="84" spans="1:22" x14ac:dyDescent="0.35">
      <c r="A84" s="1" t="s">
        <v>90</v>
      </c>
      <c r="B84">
        <v>-89.4</v>
      </c>
      <c r="C84" t="s">
        <v>90</v>
      </c>
      <c r="D84">
        <v>-113.8626</v>
      </c>
      <c r="E84">
        <v>-90.561499999999995</v>
      </c>
      <c r="F84">
        <v>-100.6478</v>
      </c>
      <c r="G84">
        <v>-110.0988</v>
      </c>
      <c r="H84">
        <v>-73.965000000000003</v>
      </c>
      <c r="I84">
        <v>-107.8386</v>
      </c>
      <c r="J84">
        <v>-87.718599999999995</v>
      </c>
      <c r="K84">
        <v>-39.551499999999997</v>
      </c>
      <c r="M84" s="1" t="s">
        <v>55</v>
      </c>
      <c r="N84">
        <v>-53.5</v>
      </c>
      <c r="O84">
        <v>-93.586200000000005</v>
      </c>
      <c r="P84">
        <v>-76.984099999999998</v>
      </c>
      <c r="Q84">
        <v>-86.966200000000001</v>
      </c>
      <c r="R84">
        <v>-85.723200000000006</v>
      </c>
      <c r="S84">
        <v>-62.160699999999999</v>
      </c>
      <c r="T84">
        <v>-84.346199999999996</v>
      </c>
      <c r="U84">
        <v>-79.665000000000006</v>
      </c>
      <c r="V84">
        <v>-45.194499999999998</v>
      </c>
    </row>
    <row r="85" spans="1:22" x14ac:dyDescent="0.35">
      <c r="A85" s="1" t="s">
        <v>91</v>
      </c>
      <c r="B85">
        <v>-89.8</v>
      </c>
      <c r="C85" t="s">
        <v>91</v>
      </c>
      <c r="D85">
        <v>-113.4671</v>
      </c>
      <c r="E85">
        <v>-90.051400000000001</v>
      </c>
      <c r="F85">
        <v>-100.31270000000001</v>
      </c>
      <c r="G85">
        <v>-108.5044</v>
      </c>
      <c r="H85">
        <v>-72.8857</v>
      </c>
      <c r="I85">
        <v>-103.01730000000001</v>
      </c>
      <c r="J85">
        <v>-86.9499</v>
      </c>
      <c r="K85">
        <v>-38.546700000000001</v>
      </c>
      <c r="M85" s="1" t="s">
        <v>56</v>
      </c>
      <c r="N85">
        <v>-69</v>
      </c>
      <c r="O85">
        <v>-100.61839999999999</v>
      </c>
      <c r="P85">
        <v>-79.401499999999999</v>
      </c>
      <c r="Q85">
        <v>-88.491399999999999</v>
      </c>
      <c r="R85">
        <v>-84.506600000000006</v>
      </c>
      <c r="S85">
        <v>-64.325999999999993</v>
      </c>
      <c r="T85">
        <v>-94.695800000000006</v>
      </c>
      <c r="U85">
        <v>-79.342299999999994</v>
      </c>
      <c r="V85">
        <v>-46.278100000000002</v>
      </c>
    </row>
    <row r="86" spans="1:22" x14ac:dyDescent="0.35">
      <c r="A86" s="1" t="s">
        <v>92</v>
      </c>
      <c r="B86">
        <v>-59.5</v>
      </c>
      <c r="C86" t="s">
        <v>92</v>
      </c>
      <c r="D86">
        <v>-80.563100000000006</v>
      </c>
      <c r="E86">
        <v>-66.287800000000004</v>
      </c>
      <c r="F86">
        <v>-74.727400000000003</v>
      </c>
      <c r="G86">
        <v>-76.668300000000002</v>
      </c>
      <c r="H86">
        <v>-52.364199999999997</v>
      </c>
      <c r="I86">
        <v>-70.034000000000006</v>
      </c>
      <c r="J86">
        <v>-67.680700000000002</v>
      </c>
      <c r="K86">
        <v>-37.566800000000001</v>
      </c>
      <c r="M86" s="1" t="s">
        <v>57</v>
      </c>
      <c r="N86">
        <v>-66.8</v>
      </c>
      <c r="O86">
        <v>-102.63590000000001</v>
      </c>
      <c r="P86">
        <v>-81.085899999999995</v>
      </c>
      <c r="Q86">
        <v>-90.206999999999994</v>
      </c>
      <c r="R86">
        <v>-84.886799999999994</v>
      </c>
      <c r="S86">
        <v>-65.654700000000005</v>
      </c>
      <c r="T86">
        <v>-92.704999999999998</v>
      </c>
      <c r="U86">
        <v>-82.262799999999999</v>
      </c>
      <c r="V86">
        <v>-44.699300000000001</v>
      </c>
    </row>
    <row r="87" spans="1:22" x14ac:dyDescent="0.35">
      <c r="A87" s="1" t="s">
        <v>93</v>
      </c>
      <c r="B87">
        <v>-66.5</v>
      </c>
      <c r="C87" t="s">
        <v>93</v>
      </c>
      <c r="D87">
        <v>-78.516000000000005</v>
      </c>
      <c r="E87">
        <v>-64.544300000000007</v>
      </c>
      <c r="F87">
        <v>-72.756200000000007</v>
      </c>
      <c r="G87">
        <v>-73.588899999999995</v>
      </c>
      <c r="H87">
        <v>-50.863399999999999</v>
      </c>
      <c r="I87">
        <v>-68.969800000000006</v>
      </c>
      <c r="J87">
        <v>-65.101900000000001</v>
      </c>
      <c r="K87">
        <v>-34.738700000000001</v>
      </c>
      <c r="M87" s="1" t="s">
        <v>58</v>
      </c>
      <c r="N87">
        <v>-67.099999999999994</v>
      </c>
      <c r="O87">
        <v>-101.4011</v>
      </c>
      <c r="P87">
        <v>-80.078699999999998</v>
      </c>
      <c r="Q87">
        <v>-89.135900000000007</v>
      </c>
      <c r="R87">
        <v>-83.401899999999998</v>
      </c>
      <c r="S87">
        <v>-64.784300000000002</v>
      </c>
      <c r="T87">
        <v>-90.468599999999995</v>
      </c>
      <c r="U87">
        <v>-81.500799999999998</v>
      </c>
      <c r="V87">
        <v>-52.172199999999997</v>
      </c>
    </row>
    <row r="88" spans="1:22" x14ac:dyDescent="0.35">
      <c r="A88" s="1" t="s">
        <v>94</v>
      </c>
      <c r="B88">
        <v>-58.9</v>
      </c>
      <c r="C88" t="s">
        <v>94</v>
      </c>
      <c r="D88">
        <v>-81.471199999999996</v>
      </c>
      <c r="E88">
        <v>-66.923500000000004</v>
      </c>
      <c r="F88">
        <v>-75.331100000000006</v>
      </c>
      <c r="G88">
        <v>-76.385900000000007</v>
      </c>
      <c r="H88">
        <v>-53.294199999999996</v>
      </c>
      <c r="I88">
        <v>-73.148899999999998</v>
      </c>
      <c r="J88">
        <v>-68.903300000000002</v>
      </c>
      <c r="K88">
        <v>-39.334299999999999</v>
      </c>
      <c r="M88" s="1" t="s">
        <v>59</v>
      </c>
      <c r="N88">
        <v>-66</v>
      </c>
      <c r="O88">
        <v>-100.21729999999999</v>
      </c>
      <c r="P88">
        <v>-78.999899999999997</v>
      </c>
      <c r="Q88">
        <v>-87.719300000000004</v>
      </c>
      <c r="R88">
        <v>-106.8349</v>
      </c>
      <c r="S88">
        <v>-64.010300000000001</v>
      </c>
      <c r="T88">
        <v>-90.416200000000003</v>
      </c>
      <c r="U88">
        <v>-79.838099999999997</v>
      </c>
      <c r="V88">
        <v>-52.482300000000002</v>
      </c>
    </row>
    <row r="89" spans="1:22" x14ac:dyDescent="0.35">
      <c r="A89" s="1" t="s">
        <v>95</v>
      </c>
      <c r="B89">
        <v>-64.400000000000006</v>
      </c>
      <c r="C89" t="s">
        <v>95</v>
      </c>
      <c r="D89">
        <v>-78.750900000000001</v>
      </c>
      <c r="E89">
        <v>-64.431799999999996</v>
      </c>
      <c r="F89">
        <v>-72.539100000000005</v>
      </c>
      <c r="G89">
        <v>-74.025400000000005</v>
      </c>
      <c r="H89">
        <v>-50.9086</v>
      </c>
      <c r="I89">
        <v>-68.596100000000007</v>
      </c>
      <c r="J89">
        <v>-64.871600000000001</v>
      </c>
      <c r="K89">
        <v>-34.166899999999998</v>
      </c>
      <c r="M89" s="1" t="s">
        <v>60</v>
      </c>
      <c r="N89">
        <v>-72.3</v>
      </c>
      <c r="O89">
        <v>-101.6835</v>
      </c>
      <c r="P89">
        <v>-80.566800000000001</v>
      </c>
      <c r="Q89">
        <v>-89.533799999999999</v>
      </c>
      <c r="R89">
        <v>-106.00320000000001</v>
      </c>
      <c r="S89">
        <v>-65.487499999999997</v>
      </c>
      <c r="T89">
        <v>-91.495599999999996</v>
      </c>
      <c r="U89">
        <v>-82.645899999999997</v>
      </c>
      <c r="V89">
        <v>-51.821100000000001</v>
      </c>
    </row>
    <row r="90" spans="1:22" x14ac:dyDescent="0.35">
      <c r="A90" s="1" t="s">
        <v>96</v>
      </c>
      <c r="B90">
        <v>-71.900000000000006</v>
      </c>
      <c r="C90" t="s">
        <v>96</v>
      </c>
      <c r="D90">
        <v>-106.01439999999999</v>
      </c>
      <c r="E90">
        <v>-87.057199999999995</v>
      </c>
      <c r="F90">
        <v>-97.5261</v>
      </c>
      <c r="G90">
        <v>-103.6925</v>
      </c>
      <c r="H90">
        <v>-70.246399999999994</v>
      </c>
      <c r="I90">
        <v>-90.682000000000002</v>
      </c>
      <c r="J90">
        <v>-87.622</v>
      </c>
      <c r="K90">
        <v>-49.277799999999999</v>
      </c>
      <c r="M90" s="1" t="s">
        <v>99</v>
      </c>
      <c r="N90">
        <v>-69.2</v>
      </c>
      <c r="O90">
        <v>-103.5365</v>
      </c>
      <c r="P90">
        <v>-81.530500000000004</v>
      </c>
      <c r="Q90">
        <v>-90.369799999999998</v>
      </c>
      <c r="R90">
        <v>-104.8672</v>
      </c>
      <c r="S90">
        <v>-66.388900000000007</v>
      </c>
      <c r="T90">
        <v>-95.786100000000005</v>
      </c>
      <c r="U90">
        <v>-81.778899999999993</v>
      </c>
      <c r="V90">
        <v>-36.760300000000001</v>
      </c>
    </row>
    <row r="91" spans="1:22" x14ac:dyDescent="0.35">
      <c r="A91" s="1" t="s">
        <v>97</v>
      </c>
      <c r="B91">
        <v>-76.5</v>
      </c>
      <c r="C91" t="s">
        <v>97</v>
      </c>
      <c r="D91">
        <v>-103.6187</v>
      </c>
      <c r="E91">
        <v>-84.959299999999999</v>
      </c>
      <c r="F91">
        <v>-95.068799999999996</v>
      </c>
      <c r="G91">
        <v>-100.01</v>
      </c>
      <c r="H91">
        <v>-68.985399999999998</v>
      </c>
      <c r="I91">
        <v>-95.998199999999997</v>
      </c>
      <c r="J91">
        <v>-84.868899999999996</v>
      </c>
      <c r="K91">
        <v>-46.944400000000002</v>
      </c>
      <c r="M91" s="1" t="s">
        <v>100</v>
      </c>
      <c r="N91">
        <v>-63.7</v>
      </c>
      <c r="O91">
        <v>-102.6224</v>
      </c>
      <c r="P91">
        <v>-80.772300000000001</v>
      </c>
      <c r="Q91">
        <v>-89.686499999999995</v>
      </c>
      <c r="R91">
        <v>-100.8415</v>
      </c>
      <c r="S91">
        <v>-65.8322</v>
      </c>
      <c r="T91">
        <v>-96.339799999999997</v>
      </c>
      <c r="U91">
        <v>-81.286500000000004</v>
      </c>
      <c r="V91">
        <v>-36.697299999999998</v>
      </c>
    </row>
    <row r="92" spans="1:22" x14ac:dyDescent="0.35">
      <c r="A92" s="1" t="s">
        <v>98</v>
      </c>
      <c r="B92">
        <v>-70.7</v>
      </c>
      <c r="C92" t="s">
        <v>98</v>
      </c>
      <c r="D92">
        <v>-104.1438</v>
      </c>
      <c r="E92">
        <v>-85.094800000000006</v>
      </c>
      <c r="F92">
        <v>-95.381100000000004</v>
      </c>
      <c r="G92">
        <v>-100.1049</v>
      </c>
      <c r="H92">
        <v>-68.829899999999995</v>
      </c>
      <c r="I92">
        <v>-97.795599999999993</v>
      </c>
      <c r="J92">
        <v>-85.4191</v>
      </c>
      <c r="K92">
        <v>-47.532899999999998</v>
      </c>
      <c r="M92" s="1" t="s">
        <v>101</v>
      </c>
      <c r="N92">
        <v>-63.6</v>
      </c>
      <c r="O92">
        <v>-101.6463</v>
      </c>
      <c r="P92">
        <v>-80.017399999999995</v>
      </c>
      <c r="Q92">
        <v>-89.079599999999999</v>
      </c>
      <c r="R92">
        <v>-99.760400000000004</v>
      </c>
      <c r="S92">
        <v>-64.928299999999993</v>
      </c>
      <c r="T92">
        <v>-95.335099999999997</v>
      </c>
      <c r="U92">
        <v>-79.042000000000002</v>
      </c>
      <c r="V92">
        <v>-34.735399999999998</v>
      </c>
    </row>
    <row r="93" spans="1:22" x14ac:dyDescent="0.35">
      <c r="A93" s="1" t="s">
        <v>99</v>
      </c>
      <c r="B93">
        <v>-69.2</v>
      </c>
      <c r="C93" t="s">
        <v>99</v>
      </c>
      <c r="D93">
        <v>-89.679400000000001</v>
      </c>
      <c r="E93">
        <v>-69.552999999999997</v>
      </c>
      <c r="F93">
        <v>-77.014200000000002</v>
      </c>
      <c r="G93">
        <v>-84.716399999999993</v>
      </c>
      <c r="H93">
        <v>-57.799599999999998</v>
      </c>
      <c r="I93">
        <v>-83.194100000000006</v>
      </c>
      <c r="J93">
        <v>-67.092200000000005</v>
      </c>
      <c r="K93">
        <v>-23.2773</v>
      </c>
      <c r="M93" s="1" t="s">
        <v>102</v>
      </c>
      <c r="N93">
        <v>-77</v>
      </c>
      <c r="O93">
        <v>-112.1585</v>
      </c>
      <c r="P93">
        <v>-90.899199999999993</v>
      </c>
      <c r="Q93">
        <v>-102.25449999999999</v>
      </c>
      <c r="R93">
        <v>-98.967799999999997</v>
      </c>
      <c r="S93">
        <v>-73.292000000000002</v>
      </c>
      <c r="T93">
        <v>-106.9053</v>
      </c>
      <c r="U93">
        <v>-91.497600000000006</v>
      </c>
      <c r="V93">
        <v>-48.421999999999997</v>
      </c>
    </row>
    <row r="94" spans="1:22" x14ac:dyDescent="0.35">
      <c r="A94" s="1" t="s">
        <v>100</v>
      </c>
      <c r="B94">
        <v>-63.7</v>
      </c>
      <c r="C94" t="s">
        <v>100</v>
      </c>
      <c r="D94">
        <v>-87.869799999999998</v>
      </c>
      <c r="E94">
        <v>-67.891999999999996</v>
      </c>
      <c r="F94">
        <v>-75.356300000000005</v>
      </c>
      <c r="G94">
        <v>-83.156199999999998</v>
      </c>
      <c r="H94">
        <v>-56.049100000000003</v>
      </c>
      <c r="I94">
        <v>-83.687799999999996</v>
      </c>
      <c r="J94">
        <v>-65.903700000000001</v>
      </c>
      <c r="K94">
        <v>-22.175699999999999</v>
      </c>
      <c r="M94" s="1" t="s">
        <v>103</v>
      </c>
      <c r="N94">
        <v>-78.099999999999994</v>
      </c>
      <c r="O94">
        <v>-111.005</v>
      </c>
      <c r="P94">
        <v>-89.848500000000001</v>
      </c>
      <c r="Q94">
        <v>-101.02970000000001</v>
      </c>
      <c r="R94">
        <v>-110.0528</v>
      </c>
      <c r="S94">
        <v>-72.153599999999997</v>
      </c>
      <c r="T94">
        <v>-99.95</v>
      </c>
      <c r="U94">
        <v>-90.372600000000006</v>
      </c>
      <c r="V94">
        <v>-47.1434</v>
      </c>
    </row>
    <row r="95" spans="1:22" x14ac:dyDescent="0.35">
      <c r="A95" s="1" t="s">
        <v>101</v>
      </c>
      <c r="B95">
        <v>-63.6</v>
      </c>
      <c r="C95" t="s">
        <v>101</v>
      </c>
      <c r="D95">
        <v>-95.325199999999995</v>
      </c>
      <c r="E95">
        <v>-74.405100000000004</v>
      </c>
      <c r="F95">
        <v>-82.500200000000007</v>
      </c>
      <c r="G95">
        <v>-91.179199999999994</v>
      </c>
      <c r="H95">
        <v>-60.721499999999999</v>
      </c>
      <c r="I95">
        <v>-92.593900000000005</v>
      </c>
      <c r="J95">
        <v>-72.459199999999996</v>
      </c>
      <c r="K95">
        <v>-27.5565</v>
      </c>
      <c r="M95" s="1" t="s">
        <v>104</v>
      </c>
      <c r="N95">
        <v>-73.400000000000006</v>
      </c>
      <c r="O95">
        <v>-111.47280000000001</v>
      </c>
      <c r="P95">
        <v>-90.393000000000001</v>
      </c>
      <c r="Q95">
        <v>-101.673</v>
      </c>
      <c r="R95">
        <v>-108.21120000000001</v>
      </c>
      <c r="S95">
        <v>-72.454499999999996</v>
      </c>
      <c r="T95">
        <v>-102.223</v>
      </c>
      <c r="U95">
        <v>-90.102999999999994</v>
      </c>
      <c r="V95">
        <v>-46.7483</v>
      </c>
    </row>
    <row r="96" spans="1:22" x14ac:dyDescent="0.35">
      <c r="A96" s="1" t="s">
        <v>102</v>
      </c>
      <c r="B96">
        <v>-77</v>
      </c>
      <c r="C96" t="s">
        <v>102</v>
      </c>
      <c r="D96">
        <v>-105.2961</v>
      </c>
      <c r="E96">
        <v>-84.954499999999996</v>
      </c>
      <c r="F96">
        <v>-95.588700000000003</v>
      </c>
      <c r="G96">
        <v>-102.74890000000001</v>
      </c>
      <c r="H96">
        <v>-68.936800000000005</v>
      </c>
      <c r="I96">
        <v>-100.81010000000001</v>
      </c>
      <c r="J96">
        <v>-84.036699999999996</v>
      </c>
      <c r="K96">
        <v>-41.098300000000002</v>
      </c>
      <c r="M96" s="1" t="s">
        <v>105</v>
      </c>
      <c r="N96">
        <v>-87.6</v>
      </c>
      <c r="O96">
        <v>-122.3627</v>
      </c>
      <c r="P96">
        <v>-100.0638</v>
      </c>
      <c r="Q96">
        <v>-112.3038</v>
      </c>
      <c r="R96">
        <v>-108.37139999999999</v>
      </c>
      <c r="S96">
        <v>-79.988500000000002</v>
      </c>
      <c r="T96">
        <v>-111.70350000000001</v>
      </c>
      <c r="U96">
        <v>-98.875500000000002</v>
      </c>
      <c r="V96">
        <v>-55.111400000000003</v>
      </c>
    </row>
    <row r="97" spans="1:22" x14ac:dyDescent="0.35">
      <c r="A97" s="1" t="s">
        <v>103</v>
      </c>
      <c r="B97">
        <v>-78.099999999999994</v>
      </c>
      <c r="C97" t="s">
        <v>103</v>
      </c>
      <c r="D97">
        <v>-102.60120000000001</v>
      </c>
      <c r="E97">
        <v>-82.367400000000004</v>
      </c>
      <c r="F97">
        <v>-92.721999999999994</v>
      </c>
      <c r="G97">
        <v>-98.965400000000002</v>
      </c>
      <c r="H97">
        <v>-66.271100000000004</v>
      </c>
      <c r="I97">
        <v>-92.367900000000006</v>
      </c>
      <c r="J97">
        <v>-81.750900000000001</v>
      </c>
      <c r="K97">
        <v>-39.0809</v>
      </c>
      <c r="M97" s="1" t="s">
        <v>106</v>
      </c>
      <c r="N97">
        <v>-87.9</v>
      </c>
      <c r="O97">
        <v>-112.2383</v>
      </c>
      <c r="P97">
        <v>-90.151300000000006</v>
      </c>
      <c r="Q97">
        <v>-101.9786</v>
      </c>
      <c r="R97">
        <v>-116.7916</v>
      </c>
      <c r="S97">
        <v>-70.7928</v>
      </c>
      <c r="T97">
        <v>-103.35250000000001</v>
      </c>
      <c r="U97">
        <v>-87.504599999999996</v>
      </c>
      <c r="V97">
        <v>-42.782800000000002</v>
      </c>
    </row>
    <row r="98" spans="1:22" x14ac:dyDescent="0.35">
      <c r="A98" s="1" t="s">
        <v>104</v>
      </c>
      <c r="B98">
        <v>-73.400000000000006</v>
      </c>
      <c r="C98" t="s">
        <v>104</v>
      </c>
      <c r="D98">
        <v>-104.313</v>
      </c>
      <c r="E98">
        <v>-83.880899999999997</v>
      </c>
      <c r="F98">
        <v>-94.258799999999994</v>
      </c>
      <c r="G98">
        <v>-100.80070000000001</v>
      </c>
      <c r="H98">
        <v>-67.340199999999996</v>
      </c>
      <c r="I98">
        <v>-94.162800000000004</v>
      </c>
      <c r="J98">
        <v>-82.876300000000001</v>
      </c>
      <c r="K98">
        <v>-39.642200000000003</v>
      </c>
      <c r="M98" s="1" t="s">
        <v>107</v>
      </c>
      <c r="N98">
        <v>-87.1</v>
      </c>
      <c r="O98">
        <v>-122.5176</v>
      </c>
      <c r="P98">
        <v>-100.1711</v>
      </c>
      <c r="Q98">
        <v>-112.467</v>
      </c>
      <c r="R98">
        <v>-106.63460000000001</v>
      </c>
      <c r="S98">
        <v>-79.669300000000007</v>
      </c>
      <c r="T98">
        <v>-111.633</v>
      </c>
      <c r="U98">
        <v>-99.060100000000006</v>
      </c>
      <c r="V98">
        <v>-54.7318</v>
      </c>
    </row>
    <row r="99" spans="1:22" x14ac:dyDescent="0.35">
      <c r="A99" s="1" t="s">
        <v>105</v>
      </c>
      <c r="B99">
        <v>-87.6</v>
      </c>
      <c r="C99" t="s">
        <v>105</v>
      </c>
      <c r="D99">
        <v>-112.5243</v>
      </c>
      <c r="E99">
        <v>-91.240700000000004</v>
      </c>
      <c r="F99">
        <v>-102.2465</v>
      </c>
      <c r="G99">
        <v>-105.3396</v>
      </c>
      <c r="H99">
        <v>-73.4572</v>
      </c>
      <c r="I99">
        <v>-103.3032</v>
      </c>
      <c r="J99">
        <v>-88.6036</v>
      </c>
      <c r="K99">
        <v>-45.256399999999999</v>
      </c>
      <c r="M99" s="1" t="s">
        <v>120</v>
      </c>
      <c r="N99">
        <v>-69.5</v>
      </c>
      <c r="O99">
        <v>-105.6232</v>
      </c>
      <c r="P99">
        <v>-83.849800000000002</v>
      </c>
      <c r="Q99">
        <v>-93.841200000000001</v>
      </c>
      <c r="R99">
        <v>-118.7242</v>
      </c>
      <c r="S99">
        <v>-67.665599999999998</v>
      </c>
      <c r="T99">
        <v>-95.141199999999998</v>
      </c>
      <c r="U99">
        <v>-83.954800000000006</v>
      </c>
      <c r="V99">
        <v>-39.720999999999997</v>
      </c>
    </row>
    <row r="100" spans="1:22" x14ac:dyDescent="0.35">
      <c r="A100" s="1" t="s">
        <v>106</v>
      </c>
      <c r="B100">
        <v>-87.9</v>
      </c>
      <c r="C100" t="s">
        <v>106</v>
      </c>
      <c r="D100">
        <v>-103.057</v>
      </c>
      <c r="E100">
        <v>-82.068799999999996</v>
      </c>
      <c r="F100">
        <v>-92.820400000000006</v>
      </c>
      <c r="G100">
        <v>-96.079400000000007</v>
      </c>
      <c r="H100">
        <v>-64.742400000000004</v>
      </c>
      <c r="I100">
        <v>-94.303299999999993</v>
      </c>
      <c r="J100">
        <v>-77.393799999999999</v>
      </c>
      <c r="K100">
        <v>-33.292400000000001</v>
      </c>
      <c r="M100" s="1" t="s">
        <v>121</v>
      </c>
      <c r="N100">
        <v>-69.2</v>
      </c>
      <c r="O100">
        <v>-106.4263</v>
      </c>
      <c r="P100">
        <v>-84.897000000000006</v>
      </c>
      <c r="Q100">
        <v>-95.062100000000001</v>
      </c>
      <c r="R100">
        <v>-103.2517</v>
      </c>
      <c r="S100">
        <v>-68.837699999999998</v>
      </c>
      <c r="T100">
        <v>-96.021699999999996</v>
      </c>
      <c r="U100">
        <v>-85.054500000000004</v>
      </c>
      <c r="V100">
        <v>-40.537700000000001</v>
      </c>
    </row>
    <row r="101" spans="1:22" x14ac:dyDescent="0.35">
      <c r="A101" s="1" t="s">
        <v>107</v>
      </c>
      <c r="B101">
        <v>-87.1</v>
      </c>
      <c r="C101" t="s">
        <v>107</v>
      </c>
      <c r="D101">
        <v>-112.5399</v>
      </c>
      <c r="E101">
        <v>-91.387200000000007</v>
      </c>
      <c r="F101">
        <v>-102.56480000000001</v>
      </c>
      <c r="G101">
        <v>-106.92400000000001</v>
      </c>
      <c r="H101">
        <v>-73.108599999999996</v>
      </c>
      <c r="I101">
        <v>-100.9329</v>
      </c>
      <c r="J101">
        <v>-88.248999999999995</v>
      </c>
      <c r="K101">
        <v>-44.430999999999997</v>
      </c>
      <c r="M101" s="1" t="s">
        <v>122</v>
      </c>
      <c r="N101">
        <v>-74.900000000000006</v>
      </c>
      <c r="O101">
        <v>-106.69540000000001</v>
      </c>
      <c r="P101">
        <v>-85.203299999999999</v>
      </c>
      <c r="Q101">
        <v>-95.5839</v>
      </c>
      <c r="R101">
        <v>-103.4764</v>
      </c>
      <c r="S101">
        <v>-69.301100000000005</v>
      </c>
      <c r="T101">
        <v>-100.5505</v>
      </c>
      <c r="U101">
        <v>-85.328199999999995</v>
      </c>
      <c r="V101">
        <v>-41.137500000000003</v>
      </c>
    </row>
    <row r="102" spans="1:22" x14ac:dyDescent="0.35">
      <c r="A102" s="1" t="s">
        <v>108</v>
      </c>
      <c r="B102">
        <v>-124.6</v>
      </c>
      <c r="C102" t="s">
        <v>108</v>
      </c>
      <c r="D102">
        <v>-171.0181</v>
      </c>
      <c r="E102">
        <v>-134.36609999999999</v>
      </c>
      <c r="F102">
        <v>-150.44049999999999</v>
      </c>
      <c r="G102">
        <v>-164.03749999999999</v>
      </c>
      <c r="H102">
        <v>-110.5539</v>
      </c>
      <c r="I102">
        <v>-171.52029999999999</v>
      </c>
      <c r="J102">
        <v>-110.39530000000001</v>
      </c>
      <c r="K102">
        <v>-30.4163</v>
      </c>
      <c r="M102" s="1" t="s">
        <v>123</v>
      </c>
      <c r="N102">
        <v>-75.900000000000006</v>
      </c>
      <c r="O102">
        <v>-110.93040000000001</v>
      </c>
      <c r="P102">
        <v>-89.802599999999998</v>
      </c>
      <c r="Q102">
        <v>-100.6443</v>
      </c>
      <c r="R102">
        <v>-104.2396</v>
      </c>
      <c r="S102">
        <v>-71.909199999999998</v>
      </c>
      <c r="T102">
        <v>-97.753900000000002</v>
      </c>
      <c r="U102">
        <v>-90.561599999999999</v>
      </c>
      <c r="V102">
        <v>-47.477600000000002</v>
      </c>
    </row>
    <row r="103" spans="1:22" x14ac:dyDescent="0.35">
      <c r="A103" s="1" t="s">
        <v>109</v>
      </c>
      <c r="B103">
        <v>-129.5</v>
      </c>
      <c r="C103" t="s">
        <v>109</v>
      </c>
      <c r="D103">
        <v>-184.34880000000001</v>
      </c>
      <c r="E103">
        <v>-145.70330000000001</v>
      </c>
      <c r="F103">
        <v>-163.0027</v>
      </c>
      <c r="G103">
        <v>-175.8287</v>
      </c>
      <c r="H103">
        <v>-118.7895</v>
      </c>
      <c r="I103">
        <v>-176.7424</v>
      </c>
      <c r="J103">
        <v>-123.0038</v>
      </c>
      <c r="K103">
        <v>-38.957999999999998</v>
      </c>
      <c r="M103" s="1" t="s">
        <v>124</v>
      </c>
      <c r="N103">
        <v>-73.400000000000006</v>
      </c>
      <c r="O103">
        <v>-110.4324</v>
      </c>
      <c r="P103">
        <v>-89.430400000000006</v>
      </c>
      <c r="Q103">
        <v>-100.25749999999999</v>
      </c>
      <c r="R103">
        <v>-107.71169999999999</v>
      </c>
      <c r="S103">
        <v>-72.010300000000001</v>
      </c>
      <c r="T103">
        <v>-95.152600000000007</v>
      </c>
      <c r="U103">
        <v>-90.894800000000004</v>
      </c>
      <c r="V103">
        <v>-47.634799999999998</v>
      </c>
    </row>
    <row r="104" spans="1:22" x14ac:dyDescent="0.35">
      <c r="A104" s="1" t="s">
        <v>110</v>
      </c>
      <c r="B104">
        <v>-117.6</v>
      </c>
      <c r="C104" t="s">
        <v>110</v>
      </c>
      <c r="D104">
        <v>-182.9956</v>
      </c>
      <c r="E104">
        <v>-144.48009999999999</v>
      </c>
      <c r="F104">
        <v>-161.90450000000001</v>
      </c>
      <c r="G104">
        <v>-177.01650000000001</v>
      </c>
      <c r="H104">
        <v>-118.2585</v>
      </c>
      <c r="I104">
        <v>-176.3526</v>
      </c>
      <c r="J104">
        <v>-121.8858</v>
      </c>
      <c r="K104">
        <v>-38.874699999999997</v>
      </c>
      <c r="M104" s="1" t="s">
        <v>125</v>
      </c>
      <c r="N104">
        <v>-73.900000000000006</v>
      </c>
      <c r="O104">
        <v>-109.7544</v>
      </c>
      <c r="P104">
        <v>-88.788899999999998</v>
      </c>
      <c r="Q104">
        <v>-99.653400000000005</v>
      </c>
      <c r="R104">
        <v>-108.2379</v>
      </c>
      <c r="S104">
        <v>-71.200500000000005</v>
      </c>
      <c r="T104">
        <v>-96.970600000000005</v>
      </c>
      <c r="U104">
        <v>-89.406700000000001</v>
      </c>
      <c r="V104">
        <v>-46.768099999999997</v>
      </c>
    </row>
    <row r="105" spans="1:22" x14ac:dyDescent="0.35">
      <c r="A105" s="1" t="s">
        <v>111</v>
      </c>
      <c r="B105">
        <v>-116.6</v>
      </c>
      <c r="C105" t="s">
        <v>111</v>
      </c>
      <c r="D105">
        <v>-173.9288</v>
      </c>
      <c r="E105">
        <v>-137.2577</v>
      </c>
      <c r="F105">
        <v>-153.9853</v>
      </c>
      <c r="G105">
        <v>-167.8434</v>
      </c>
      <c r="H105">
        <v>-113.4768</v>
      </c>
      <c r="I105">
        <v>-170.33439999999999</v>
      </c>
      <c r="J105">
        <v>-114.13679999999999</v>
      </c>
      <c r="K105">
        <v>-33.813899999999997</v>
      </c>
      <c r="M105" s="1" t="s">
        <v>126</v>
      </c>
      <c r="N105">
        <v>-73.400000000000006</v>
      </c>
      <c r="O105">
        <v>-107.9729</v>
      </c>
      <c r="P105">
        <v>-87.150400000000005</v>
      </c>
      <c r="Q105">
        <v>-97.559700000000007</v>
      </c>
      <c r="R105">
        <v>-107.2782</v>
      </c>
      <c r="S105">
        <v>-70.543999999999997</v>
      </c>
      <c r="T105">
        <v>-101.15130000000001</v>
      </c>
      <c r="U105">
        <v>-87.201700000000002</v>
      </c>
      <c r="V105">
        <v>-43.779200000000003</v>
      </c>
    </row>
    <row r="106" spans="1:22" x14ac:dyDescent="0.35">
      <c r="A106" s="1" t="s">
        <v>112</v>
      </c>
      <c r="B106">
        <v>-115.3</v>
      </c>
      <c r="C106" t="s">
        <v>112</v>
      </c>
      <c r="D106">
        <v>-175.7637</v>
      </c>
      <c r="E106">
        <v>-138.60640000000001</v>
      </c>
      <c r="F106">
        <v>-155.4203</v>
      </c>
      <c r="G106">
        <v>-169.8682</v>
      </c>
      <c r="H106">
        <v>-113.4177</v>
      </c>
      <c r="I106">
        <v>-169.999</v>
      </c>
      <c r="J106">
        <v>-116.0676</v>
      </c>
      <c r="K106">
        <v>-35.046799999999998</v>
      </c>
      <c r="M106" s="1" t="s">
        <v>127</v>
      </c>
      <c r="N106">
        <v>-70.8</v>
      </c>
      <c r="O106">
        <v>-107.0179</v>
      </c>
      <c r="P106">
        <v>-86.276600000000002</v>
      </c>
      <c r="Q106">
        <v>-96.550399999999996</v>
      </c>
      <c r="R106">
        <v>-106.7105</v>
      </c>
      <c r="S106">
        <v>-70.079400000000007</v>
      </c>
      <c r="T106">
        <v>-98.105500000000006</v>
      </c>
      <c r="U106">
        <v>-87.091399999999993</v>
      </c>
      <c r="V106">
        <v>-43.061599999999999</v>
      </c>
    </row>
    <row r="107" spans="1:22" x14ac:dyDescent="0.35">
      <c r="A107" s="1" t="s">
        <v>113</v>
      </c>
      <c r="B107">
        <v>-118.8</v>
      </c>
      <c r="C107" t="s">
        <v>113</v>
      </c>
      <c r="D107">
        <v>-180.7705</v>
      </c>
      <c r="E107">
        <v>-142.47049999999999</v>
      </c>
      <c r="F107">
        <v>-159.54130000000001</v>
      </c>
      <c r="G107">
        <v>-173.4383</v>
      </c>
      <c r="H107">
        <v>-116.6087</v>
      </c>
      <c r="I107">
        <v>-182.1155</v>
      </c>
      <c r="J107">
        <v>-119.2026</v>
      </c>
      <c r="K107">
        <v>-35.756</v>
      </c>
      <c r="M107" s="1" t="s">
        <v>128</v>
      </c>
      <c r="N107">
        <v>-74.900000000000006</v>
      </c>
      <c r="O107">
        <v>-106.9611</v>
      </c>
      <c r="P107">
        <v>-86.262600000000006</v>
      </c>
      <c r="Q107">
        <v>-96.700199999999995</v>
      </c>
      <c r="R107">
        <v>-105.2058</v>
      </c>
      <c r="S107">
        <v>-70.160200000000003</v>
      </c>
      <c r="T107">
        <v>-103.7941</v>
      </c>
      <c r="U107">
        <v>-85.884299999999996</v>
      </c>
      <c r="V107">
        <v>-42.5807</v>
      </c>
    </row>
    <row r="108" spans="1:22" x14ac:dyDescent="0.35">
      <c r="A108" s="1" t="s">
        <v>114</v>
      </c>
      <c r="B108">
        <v>-137.9</v>
      </c>
      <c r="C108" t="s">
        <v>114</v>
      </c>
      <c r="D108">
        <v>-186.14420000000001</v>
      </c>
      <c r="E108">
        <v>-146.96029999999999</v>
      </c>
      <c r="F108">
        <v>-164.65090000000001</v>
      </c>
      <c r="G108">
        <v>-181.3724</v>
      </c>
      <c r="H108">
        <v>-120.0919</v>
      </c>
      <c r="I108">
        <v>-183.54640000000001</v>
      </c>
      <c r="J108">
        <v>-126.6918</v>
      </c>
      <c r="K108">
        <v>-44.430599999999998</v>
      </c>
      <c r="M108" s="1" t="s">
        <v>129</v>
      </c>
      <c r="N108">
        <v>-72.900000000000006</v>
      </c>
      <c r="O108">
        <v>-110.6683</v>
      </c>
      <c r="P108">
        <v>-89.414100000000005</v>
      </c>
      <c r="Q108">
        <v>-100.0218</v>
      </c>
      <c r="R108">
        <v>-104.3904</v>
      </c>
      <c r="S108">
        <v>-72.740799999999993</v>
      </c>
      <c r="T108">
        <v>-99.106200000000001</v>
      </c>
      <c r="U108">
        <v>-90.651600000000002</v>
      </c>
      <c r="V108">
        <v>-46.675899999999999</v>
      </c>
    </row>
    <row r="109" spans="1:22" x14ac:dyDescent="0.35">
      <c r="A109" s="1" t="s">
        <v>115</v>
      </c>
      <c r="B109">
        <v>-137.80000000000001</v>
      </c>
      <c r="C109" t="s">
        <v>115</v>
      </c>
      <c r="D109">
        <v>-183.79769999999999</v>
      </c>
      <c r="E109">
        <v>-144.92509999999999</v>
      </c>
      <c r="F109">
        <v>-161.97579999999999</v>
      </c>
      <c r="G109">
        <v>-178.6542</v>
      </c>
      <c r="H109">
        <v>-118.07559999999999</v>
      </c>
      <c r="I109">
        <v>-177.82859999999999</v>
      </c>
      <c r="J109">
        <v>-123.48739999999999</v>
      </c>
      <c r="K109">
        <v>-40.938499999999998</v>
      </c>
      <c r="M109" s="1" t="s">
        <v>130</v>
      </c>
      <c r="N109">
        <v>-74.900000000000006</v>
      </c>
      <c r="O109">
        <v>-110.06829999999999</v>
      </c>
      <c r="P109">
        <v>-88.570099999999996</v>
      </c>
      <c r="Q109">
        <v>-98.943399999999997</v>
      </c>
      <c r="R109">
        <v>-106.95310000000001</v>
      </c>
      <c r="S109">
        <v>-71.979600000000005</v>
      </c>
      <c r="T109">
        <v>-97.916700000000006</v>
      </c>
      <c r="U109">
        <v>-89.409700000000001</v>
      </c>
      <c r="V109">
        <v>-44.9146</v>
      </c>
    </row>
    <row r="110" spans="1:22" x14ac:dyDescent="0.35">
      <c r="A110" s="1" t="s">
        <v>116</v>
      </c>
      <c r="B110">
        <v>-125.3</v>
      </c>
      <c r="C110" t="s">
        <v>116</v>
      </c>
      <c r="D110">
        <v>-181.27209999999999</v>
      </c>
      <c r="E110">
        <v>-142.7535</v>
      </c>
      <c r="F110">
        <v>-159.46430000000001</v>
      </c>
      <c r="G110">
        <v>-176.76220000000001</v>
      </c>
      <c r="H110">
        <v>-117.0558</v>
      </c>
      <c r="I110">
        <v>-175.45760000000001</v>
      </c>
      <c r="J110">
        <v>-121.17959999999999</v>
      </c>
      <c r="K110">
        <v>-38.919400000000003</v>
      </c>
      <c r="M110" s="1" t="s">
        <v>131</v>
      </c>
      <c r="N110">
        <v>-67.400000000000006</v>
      </c>
      <c r="O110">
        <v>-110.0363</v>
      </c>
      <c r="P110">
        <v>-88.977500000000006</v>
      </c>
      <c r="Q110">
        <v>-99.4084</v>
      </c>
      <c r="R110">
        <v>-106.3352</v>
      </c>
      <c r="S110">
        <v>-72.528700000000001</v>
      </c>
      <c r="T110">
        <v>-100.7467</v>
      </c>
      <c r="U110">
        <v>-88.879499999999993</v>
      </c>
      <c r="V110">
        <v>-45.3566</v>
      </c>
    </row>
    <row r="111" spans="1:22" x14ac:dyDescent="0.35">
      <c r="A111" s="1" t="s">
        <v>117</v>
      </c>
      <c r="B111">
        <v>-124.8</v>
      </c>
      <c r="C111" t="s">
        <v>117</v>
      </c>
      <c r="D111">
        <v>-173.8228</v>
      </c>
      <c r="E111">
        <v>-136.46</v>
      </c>
      <c r="F111">
        <v>-152.5009</v>
      </c>
      <c r="G111">
        <v>-169.36320000000001</v>
      </c>
      <c r="H111">
        <v>-111.8715</v>
      </c>
      <c r="I111">
        <v>-172.703</v>
      </c>
      <c r="J111">
        <v>-114.3389</v>
      </c>
      <c r="K111">
        <v>-34.438800000000001</v>
      </c>
    </row>
    <row r="112" spans="1:22" x14ac:dyDescent="0.35">
      <c r="A112" s="1" t="s">
        <v>118</v>
      </c>
      <c r="B112">
        <v>-126.5</v>
      </c>
      <c r="C112" t="s">
        <v>118</v>
      </c>
      <c r="D112">
        <v>-173.65309999999999</v>
      </c>
      <c r="E112">
        <v>-136.27420000000001</v>
      </c>
      <c r="F112">
        <v>-152.53829999999999</v>
      </c>
      <c r="G112">
        <v>-168.9435</v>
      </c>
      <c r="H112">
        <v>-111.7383</v>
      </c>
      <c r="I112">
        <v>-160.06200000000001</v>
      </c>
      <c r="J112">
        <v>-114.39830000000001</v>
      </c>
      <c r="K112">
        <v>-33.475700000000003</v>
      </c>
    </row>
    <row r="113" spans="1:11" x14ac:dyDescent="0.35">
      <c r="A113" s="1" t="s">
        <v>119</v>
      </c>
      <c r="B113">
        <v>-126.6</v>
      </c>
      <c r="C113" t="s">
        <v>119</v>
      </c>
      <c r="D113">
        <v>-184.82419999999999</v>
      </c>
      <c r="E113">
        <v>-145.53809999999999</v>
      </c>
      <c r="F113">
        <v>-162.78899999999999</v>
      </c>
      <c r="G113">
        <v>-178.80019999999999</v>
      </c>
      <c r="H113">
        <v>-117.7706</v>
      </c>
      <c r="I113">
        <v>-180.96369999999999</v>
      </c>
      <c r="J113">
        <v>-124.88590000000001</v>
      </c>
      <c r="K113">
        <v>-41.6068</v>
      </c>
    </row>
    <row r="114" spans="1:11" x14ac:dyDescent="0.35">
      <c r="A114" s="1" t="s">
        <v>120</v>
      </c>
      <c r="B114">
        <v>-69.5</v>
      </c>
      <c r="C114" t="s">
        <v>120</v>
      </c>
      <c r="D114">
        <v>-94.098100000000002</v>
      </c>
      <c r="E114">
        <v>-73.851699999999994</v>
      </c>
      <c r="F114">
        <v>-82.655100000000004</v>
      </c>
      <c r="G114">
        <v>-91.032499999999999</v>
      </c>
      <c r="H114">
        <v>-60.494500000000002</v>
      </c>
      <c r="I114">
        <v>-82.549000000000007</v>
      </c>
      <c r="J114">
        <v>-71.572999999999993</v>
      </c>
      <c r="K114">
        <v>-28.070799999999998</v>
      </c>
    </row>
    <row r="115" spans="1:11" x14ac:dyDescent="0.35">
      <c r="A115" s="1" t="s">
        <v>121</v>
      </c>
      <c r="B115">
        <v>-69.2</v>
      </c>
      <c r="C115" t="s">
        <v>121</v>
      </c>
      <c r="D115">
        <v>-95.6571</v>
      </c>
      <c r="E115">
        <v>-75.3001</v>
      </c>
      <c r="F115">
        <v>-84.082400000000007</v>
      </c>
      <c r="G115">
        <v>-90.074700000000007</v>
      </c>
      <c r="H115">
        <v>-61.308</v>
      </c>
      <c r="I115">
        <v>-81.461399999999998</v>
      </c>
      <c r="J115">
        <v>-72.5441</v>
      </c>
      <c r="K115">
        <v>-27.729800000000001</v>
      </c>
    </row>
    <row r="116" spans="1:11" x14ac:dyDescent="0.35">
      <c r="A116" s="1" t="s">
        <v>122</v>
      </c>
      <c r="B116">
        <v>-74.900000000000006</v>
      </c>
      <c r="C116" t="s">
        <v>122</v>
      </c>
      <c r="D116">
        <v>-98.433099999999996</v>
      </c>
      <c r="E116">
        <v>-77.603300000000004</v>
      </c>
      <c r="F116">
        <v>-87.049400000000006</v>
      </c>
      <c r="G116">
        <v>-93.496399999999994</v>
      </c>
      <c r="H116">
        <v>-62.401299999999999</v>
      </c>
      <c r="I116">
        <v>-90.355400000000003</v>
      </c>
      <c r="J116">
        <v>-74.058300000000003</v>
      </c>
      <c r="K116">
        <v>-28.073</v>
      </c>
    </row>
    <row r="117" spans="1:11" x14ac:dyDescent="0.35">
      <c r="A117" s="1" t="s">
        <v>123</v>
      </c>
      <c r="B117">
        <v>-75.900000000000006</v>
      </c>
      <c r="C117" t="s">
        <v>123</v>
      </c>
      <c r="D117">
        <v>-106.4051</v>
      </c>
      <c r="E117">
        <v>-85.765500000000003</v>
      </c>
      <c r="F117">
        <v>-96.214399999999998</v>
      </c>
      <c r="G117">
        <v>-99.035399999999996</v>
      </c>
      <c r="H117">
        <v>-68.775499999999994</v>
      </c>
      <c r="I117">
        <v>-92.358800000000002</v>
      </c>
      <c r="J117">
        <v>-81.785799999999995</v>
      </c>
      <c r="K117">
        <v>-39.116599999999998</v>
      </c>
    </row>
    <row r="118" spans="1:11" x14ac:dyDescent="0.35">
      <c r="A118" s="1" t="s">
        <v>124</v>
      </c>
      <c r="B118">
        <v>-73.400000000000006</v>
      </c>
      <c r="C118" t="s">
        <v>124</v>
      </c>
      <c r="D118">
        <v>-103.9751</v>
      </c>
      <c r="E118">
        <v>-83.521500000000003</v>
      </c>
      <c r="F118">
        <v>-93.596500000000006</v>
      </c>
      <c r="G118">
        <v>-98.685100000000006</v>
      </c>
      <c r="H118">
        <v>-67.076599999999999</v>
      </c>
      <c r="I118">
        <v>-85.9739</v>
      </c>
      <c r="J118">
        <v>-80.840400000000002</v>
      </c>
      <c r="K118">
        <v>-37.678899999999999</v>
      </c>
    </row>
    <row r="119" spans="1:11" x14ac:dyDescent="0.35">
      <c r="A119" s="1" t="s">
        <v>125</v>
      </c>
      <c r="B119">
        <v>-73.900000000000006</v>
      </c>
      <c r="C119" t="s">
        <v>125</v>
      </c>
      <c r="D119">
        <v>-107.2788</v>
      </c>
      <c r="E119">
        <v>-86.5565</v>
      </c>
      <c r="F119">
        <v>-97.093199999999996</v>
      </c>
      <c r="G119">
        <v>-98.5471</v>
      </c>
      <c r="H119">
        <v>-69.598600000000005</v>
      </c>
      <c r="I119">
        <v>-86.382400000000004</v>
      </c>
      <c r="J119">
        <v>-81.617599999999996</v>
      </c>
      <c r="K119">
        <v>-38.983899999999998</v>
      </c>
    </row>
    <row r="120" spans="1:11" x14ac:dyDescent="0.35">
      <c r="A120" s="1" t="s">
        <v>126</v>
      </c>
      <c r="B120">
        <v>-73.400000000000006</v>
      </c>
      <c r="C120" t="s">
        <v>126</v>
      </c>
      <c r="D120">
        <v>-99.673599999999993</v>
      </c>
      <c r="E120">
        <v>-79.830299999999994</v>
      </c>
      <c r="F120">
        <v>-89.400199999999998</v>
      </c>
      <c r="G120">
        <v>-96.458100000000002</v>
      </c>
      <c r="H120">
        <v>-64.706999999999994</v>
      </c>
      <c r="I120">
        <v>-94.3065</v>
      </c>
      <c r="J120">
        <v>-78.596000000000004</v>
      </c>
      <c r="K120">
        <v>-35.531300000000002</v>
      </c>
    </row>
    <row r="121" spans="1:11" x14ac:dyDescent="0.35">
      <c r="A121" s="1" t="s">
        <v>127</v>
      </c>
      <c r="B121">
        <v>-70.8</v>
      </c>
      <c r="C121" t="s">
        <v>127</v>
      </c>
      <c r="D121">
        <v>-102.19450000000001</v>
      </c>
      <c r="E121">
        <v>-82.434600000000003</v>
      </c>
      <c r="F121">
        <v>-92.092200000000005</v>
      </c>
      <c r="G121">
        <v>-97.336299999999994</v>
      </c>
      <c r="H121">
        <v>-67.165400000000005</v>
      </c>
      <c r="I121">
        <v>-90.965800000000002</v>
      </c>
      <c r="J121">
        <v>-78.461100000000002</v>
      </c>
      <c r="K121">
        <v>-34.174599999999998</v>
      </c>
    </row>
    <row r="122" spans="1:11" x14ac:dyDescent="0.35">
      <c r="A122" s="1" t="s">
        <v>128</v>
      </c>
      <c r="B122">
        <v>-74.900000000000006</v>
      </c>
      <c r="C122" t="s">
        <v>128</v>
      </c>
      <c r="D122">
        <v>-104.1564</v>
      </c>
      <c r="E122">
        <v>-83.896900000000002</v>
      </c>
      <c r="F122">
        <v>-94.0381</v>
      </c>
      <c r="G122">
        <v>-101.6944</v>
      </c>
      <c r="H122">
        <v>-68.047600000000003</v>
      </c>
      <c r="I122">
        <v>-102.0789</v>
      </c>
      <c r="J122">
        <v>-83.063400000000001</v>
      </c>
      <c r="K122">
        <v>-39.288400000000003</v>
      </c>
    </row>
    <row r="123" spans="1:11" x14ac:dyDescent="0.35">
      <c r="A123" s="1" t="s">
        <v>129</v>
      </c>
      <c r="B123">
        <v>-72.900000000000006</v>
      </c>
      <c r="C123" t="s">
        <v>129</v>
      </c>
      <c r="D123">
        <v>-104.312</v>
      </c>
      <c r="E123">
        <v>-83.707599999999999</v>
      </c>
      <c r="F123">
        <v>-93.769599999999997</v>
      </c>
      <c r="G123">
        <v>-99.527500000000003</v>
      </c>
      <c r="H123">
        <v>-68.079700000000003</v>
      </c>
      <c r="I123">
        <v>-92.742599999999996</v>
      </c>
      <c r="J123">
        <v>-83.059299999999993</v>
      </c>
      <c r="K123">
        <v>-39.140700000000002</v>
      </c>
    </row>
    <row r="124" spans="1:11" x14ac:dyDescent="0.35">
      <c r="A124" s="1" t="s">
        <v>130</v>
      </c>
      <c r="B124">
        <v>-74.900000000000006</v>
      </c>
      <c r="E124">
        <v>-80.574299999999994</v>
      </c>
      <c r="F124">
        <v>-89.946700000000007</v>
      </c>
      <c r="G124">
        <v>-97.249099999999999</v>
      </c>
      <c r="H124">
        <v>-64.979500000000002</v>
      </c>
      <c r="I124">
        <v>-88.0304</v>
      </c>
      <c r="J124">
        <v>-79.650800000000004</v>
      </c>
      <c r="K124">
        <v>-33.9754</v>
      </c>
    </row>
    <row r="125" spans="1:11" x14ac:dyDescent="0.35">
      <c r="A125" s="1" t="s">
        <v>131</v>
      </c>
      <c r="B125">
        <v>-67.400000000000006</v>
      </c>
      <c r="E125">
        <v>-80.525199999999998</v>
      </c>
      <c r="F125">
        <v>-89.873800000000003</v>
      </c>
      <c r="G125">
        <v>-97.920599999999993</v>
      </c>
      <c r="H125">
        <v>-65.348699999999994</v>
      </c>
      <c r="I125">
        <v>-92.069900000000004</v>
      </c>
      <c r="J125">
        <v>-80.844899999999996</v>
      </c>
      <c r="K125">
        <v>-35.975099999999998</v>
      </c>
    </row>
  </sheetData>
  <conditionalFormatting sqref="M3:M62">
    <cfRule type="top10" dxfId="11" priority="1" bottom="1" rank="1"/>
    <cfRule type="top10" dxfId="10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4"/>
  <sheetViews>
    <sheetView workbookViewId="0">
      <selection activeCell="D2" sqref="D2"/>
    </sheetView>
  </sheetViews>
  <sheetFormatPr defaultRowHeight="14.5" x14ac:dyDescent="0.35"/>
  <cols>
    <col min="3" max="3" width="11.453125" bestFit="1" customWidth="1"/>
    <col min="4" max="6" width="12.26953125" bestFit="1" customWidth="1"/>
    <col min="8" max="9" width="12.26953125" bestFit="1" customWidth="1"/>
    <col min="10" max="11" width="13.26953125" bestFit="1" customWidth="1"/>
  </cols>
  <sheetData>
    <row r="1" spans="1:22" x14ac:dyDescent="0.35">
      <c r="D1" t="s">
        <v>185</v>
      </c>
      <c r="M1" t="s">
        <v>186</v>
      </c>
    </row>
    <row r="2" spans="1:22" x14ac:dyDescent="0.35">
      <c r="A2" t="s">
        <v>187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M2" t="s">
        <v>187</v>
      </c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</row>
    <row r="3" spans="1:22" x14ac:dyDescent="0.35">
      <c r="A3" s="1" t="s">
        <v>9</v>
      </c>
      <c r="B3" s="2">
        <f>-80.6</f>
        <v>-80.599999999999994</v>
      </c>
      <c r="C3" t="s">
        <v>9</v>
      </c>
      <c r="D3">
        <v>-93.153499999999994</v>
      </c>
      <c r="E3">
        <v>-73.946200000000005</v>
      </c>
      <c r="F3">
        <v>-82.320599999999999</v>
      </c>
      <c r="G3">
        <v>-88.611800000000002</v>
      </c>
      <c r="H3">
        <v>-58.093499999999999</v>
      </c>
      <c r="I3">
        <v>-91.4542</v>
      </c>
      <c r="J3">
        <v>-69.3048</v>
      </c>
      <c r="K3">
        <v>-33.481299999999997</v>
      </c>
      <c r="M3" t="s">
        <v>9</v>
      </c>
      <c r="N3">
        <v>-80.599999999999994</v>
      </c>
      <c r="O3">
        <v>-93.770700000000005</v>
      </c>
      <c r="P3">
        <v>-74.747</v>
      </c>
      <c r="Q3">
        <v>-83.678799999999995</v>
      </c>
      <c r="R3">
        <v>-89.603700000000003</v>
      </c>
      <c r="S3">
        <v>-57.817900000000002</v>
      </c>
      <c r="T3">
        <v>-92.083799999999997</v>
      </c>
      <c r="U3">
        <v>-74.774699999999996</v>
      </c>
      <c r="V3">
        <v>-37.937899999999999</v>
      </c>
    </row>
    <row r="4" spans="1:22" x14ac:dyDescent="0.35">
      <c r="A4" s="1" t="s">
        <v>10</v>
      </c>
      <c r="B4">
        <v>-75.3</v>
      </c>
      <c r="C4" t="s">
        <v>10</v>
      </c>
      <c r="D4">
        <v>-98.406599999999997</v>
      </c>
      <c r="E4">
        <v>-77.423299999999998</v>
      </c>
      <c r="F4">
        <v>-85.7881</v>
      </c>
      <c r="G4">
        <v>-92.784099999999995</v>
      </c>
      <c r="H4">
        <v>-61.676000000000002</v>
      </c>
      <c r="I4">
        <v>-95.991699999999994</v>
      </c>
      <c r="J4">
        <v>-68.785700000000006</v>
      </c>
      <c r="K4">
        <v>-25.2394</v>
      </c>
      <c r="M4" t="s">
        <v>16</v>
      </c>
      <c r="N4">
        <v>-80.3</v>
      </c>
      <c r="O4">
        <v>-99.842200000000005</v>
      </c>
      <c r="P4">
        <v>-79.147800000000004</v>
      </c>
      <c r="Q4">
        <v>-89.223600000000005</v>
      </c>
      <c r="R4">
        <v>-93.619200000000006</v>
      </c>
      <c r="S4">
        <v>-61.437600000000003</v>
      </c>
      <c r="T4">
        <v>-98.869600000000005</v>
      </c>
      <c r="U4">
        <v>-78.700999999999993</v>
      </c>
      <c r="V4">
        <v>-34.526299999999999</v>
      </c>
    </row>
    <row r="5" spans="1:22" x14ac:dyDescent="0.35">
      <c r="A5" s="1" t="s">
        <v>11</v>
      </c>
      <c r="B5">
        <v>-57.2</v>
      </c>
      <c r="C5" t="s">
        <v>11</v>
      </c>
      <c r="D5">
        <v>-79.757800000000003</v>
      </c>
      <c r="E5">
        <v>-62.6068</v>
      </c>
      <c r="F5">
        <v>-69.268699999999995</v>
      </c>
      <c r="G5">
        <v>-72.115499999999997</v>
      </c>
      <c r="H5">
        <v>-49.380899999999997</v>
      </c>
      <c r="I5">
        <v>-75.078299999999999</v>
      </c>
      <c r="J5">
        <v>-59.148499999999999</v>
      </c>
      <c r="K5">
        <v>-23.982500000000002</v>
      </c>
      <c r="M5" t="s">
        <v>17</v>
      </c>
      <c r="N5">
        <v>-79.3</v>
      </c>
      <c r="O5">
        <v>-106.48779999999999</v>
      </c>
      <c r="P5">
        <v>-84.825299999999999</v>
      </c>
      <c r="Q5">
        <v>-95.464600000000004</v>
      </c>
      <c r="R5">
        <v>-78.913600000000002</v>
      </c>
      <c r="S5">
        <v>-65.464399999999998</v>
      </c>
      <c r="T5">
        <v>-104.111</v>
      </c>
      <c r="U5">
        <v>-85.0381</v>
      </c>
      <c r="V5">
        <v>-33.9649</v>
      </c>
    </row>
    <row r="6" spans="1:22" x14ac:dyDescent="0.35">
      <c r="A6" s="1" t="s">
        <v>12</v>
      </c>
      <c r="B6">
        <v>-72.599999999999994</v>
      </c>
      <c r="C6" t="s">
        <v>12</v>
      </c>
      <c r="D6">
        <v>-100.0534</v>
      </c>
      <c r="E6">
        <v>-78.903700000000001</v>
      </c>
      <c r="F6">
        <v>-87.764899999999997</v>
      </c>
      <c r="G6">
        <v>-91.682500000000005</v>
      </c>
      <c r="H6">
        <v>-62.294600000000003</v>
      </c>
      <c r="I6">
        <v>-95.676400000000001</v>
      </c>
      <c r="J6">
        <v>-70.044700000000006</v>
      </c>
      <c r="K6">
        <v>-28.119800000000001</v>
      </c>
      <c r="M6" t="s">
        <v>18</v>
      </c>
      <c r="N6">
        <v>-77.2</v>
      </c>
      <c r="O6">
        <v>-97.1755</v>
      </c>
      <c r="P6">
        <v>-78.206100000000006</v>
      </c>
      <c r="Q6">
        <v>-87.948800000000006</v>
      </c>
      <c r="R6">
        <v>-98.928399999999996</v>
      </c>
      <c r="S6">
        <v>-60.3003</v>
      </c>
      <c r="T6">
        <v>-94.194100000000006</v>
      </c>
      <c r="U6">
        <v>-77.855400000000003</v>
      </c>
      <c r="V6">
        <v>-41.125999999999998</v>
      </c>
    </row>
    <row r="7" spans="1:22" x14ac:dyDescent="0.35">
      <c r="A7" s="1" t="s">
        <v>13</v>
      </c>
      <c r="B7">
        <v>-67.3</v>
      </c>
      <c r="C7" t="s">
        <v>13</v>
      </c>
      <c r="D7">
        <v>-78.378699999999995</v>
      </c>
      <c r="E7">
        <v>-59.927799999999998</v>
      </c>
      <c r="F7">
        <v>-66.345799999999997</v>
      </c>
      <c r="G7">
        <v>-74.974199999999996</v>
      </c>
      <c r="H7">
        <v>-47.431199999999997</v>
      </c>
      <c r="I7">
        <v>-71.872</v>
      </c>
      <c r="J7">
        <v>-58.248600000000003</v>
      </c>
      <c r="K7">
        <v>-23.227799999999998</v>
      </c>
      <c r="M7" t="s">
        <v>19</v>
      </c>
      <c r="N7">
        <v>-82.4</v>
      </c>
      <c r="O7">
        <v>-102.91379999999999</v>
      </c>
      <c r="P7">
        <v>-81.520700000000005</v>
      </c>
      <c r="Q7">
        <v>-91.451300000000003</v>
      </c>
      <c r="R7">
        <v>-83.513499999999993</v>
      </c>
      <c r="S7">
        <v>-62.380400000000002</v>
      </c>
      <c r="T7">
        <v>-99.535300000000007</v>
      </c>
      <c r="U7">
        <v>-80.4773</v>
      </c>
      <c r="V7">
        <v>-32.705800000000004</v>
      </c>
    </row>
    <row r="8" spans="1:22" x14ac:dyDescent="0.35">
      <c r="A8" s="1" t="s">
        <v>14</v>
      </c>
      <c r="B8">
        <v>-49</v>
      </c>
      <c r="C8" t="s">
        <v>14</v>
      </c>
      <c r="D8">
        <v>-90.475200000000001</v>
      </c>
      <c r="E8">
        <v>-73.337900000000005</v>
      </c>
      <c r="F8">
        <v>-81.760400000000004</v>
      </c>
      <c r="G8">
        <v>-84.015600000000006</v>
      </c>
      <c r="H8">
        <v>-59.0672</v>
      </c>
      <c r="I8">
        <v>-85.734099999999998</v>
      </c>
      <c r="J8">
        <v>-67.313000000000002</v>
      </c>
      <c r="K8">
        <v>-30.166899999999998</v>
      </c>
      <c r="M8" t="s">
        <v>20</v>
      </c>
      <c r="N8">
        <v>-51.6</v>
      </c>
      <c r="O8">
        <v>-77.449399999999997</v>
      </c>
      <c r="P8">
        <v>-62.798499999999997</v>
      </c>
      <c r="Q8">
        <v>-70.802199999999999</v>
      </c>
      <c r="R8">
        <v>-82.484800000000007</v>
      </c>
      <c r="S8">
        <v>-47.547899999999998</v>
      </c>
      <c r="T8">
        <v>-75.314099999999996</v>
      </c>
      <c r="U8">
        <v>-62.782899999999998</v>
      </c>
      <c r="V8">
        <v>-36.0655</v>
      </c>
    </row>
    <row r="9" spans="1:22" x14ac:dyDescent="0.35">
      <c r="A9" s="1" t="s">
        <v>15</v>
      </c>
      <c r="B9">
        <v>-76.900000000000006</v>
      </c>
      <c r="C9" t="s">
        <v>15</v>
      </c>
      <c r="D9">
        <v>-91.159899999999993</v>
      </c>
      <c r="E9">
        <v>-70.268299999999996</v>
      </c>
      <c r="F9">
        <v>-77.634200000000007</v>
      </c>
      <c r="G9">
        <v>-84.712800000000001</v>
      </c>
      <c r="H9">
        <v>-55.644300000000001</v>
      </c>
      <c r="I9">
        <v>-87.628399999999999</v>
      </c>
      <c r="J9">
        <v>-64.049800000000005</v>
      </c>
      <c r="K9">
        <v>-24.565200000000001</v>
      </c>
      <c r="M9" t="s">
        <v>21</v>
      </c>
      <c r="N9">
        <v>-90.8</v>
      </c>
      <c r="O9">
        <v>-109.9318</v>
      </c>
      <c r="P9">
        <v>-86.445099999999996</v>
      </c>
      <c r="Q9">
        <v>-96.328299999999999</v>
      </c>
      <c r="R9">
        <v>-89.007499999999993</v>
      </c>
      <c r="S9">
        <v>-67.539500000000004</v>
      </c>
      <c r="T9">
        <v>-107.76560000000001</v>
      </c>
      <c r="U9">
        <v>-84.693100000000001</v>
      </c>
      <c r="V9">
        <v>-31.453299999999999</v>
      </c>
    </row>
    <row r="10" spans="1:22" x14ac:dyDescent="0.35">
      <c r="A10" s="1" t="s">
        <v>16</v>
      </c>
      <c r="B10">
        <v>-80.3</v>
      </c>
      <c r="C10" t="s">
        <v>16</v>
      </c>
      <c r="D10">
        <v>-95.562200000000004</v>
      </c>
      <c r="E10">
        <v>-75.176699999999997</v>
      </c>
      <c r="F10">
        <v>-84.313999999999993</v>
      </c>
      <c r="G10">
        <v>-91.052099999999996</v>
      </c>
      <c r="H10">
        <v>-59.326900000000002</v>
      </c>
      <c r="I10">
        <v>-90.895200000000003</v>
      </c>
      <c r="J10">
        <v>-68.538300000000007</v>
      </c>
      <c r="K10">
        <v>-28.6402</v>
      </c>
      <c r="M10" t="s">
        <v>22</v>
      </c>
      <c r="N10">
        <v>-58.5</v>
      </c>
      <c r="O10">
        <v>-79.1875</v>
      </c>
      <c r="P10">
        <v>-63.922199999999997</v>
      </c>
      <c r="Q10">
        <v>-72.094700000000003</v>
      </c>
      <c r="R10">
        <v>-96.810599999999994</v>
      </c>
      <c r="S10">
        <v>-48.519399999999997</v>
      </c>
      <c r="T10">
        <v>-75.706900000000005</v>
      </c>
      <c r="U10">
        <v>-66.627899999999997</v>
      </c>
      <c r="V10">
        <v>-37.378799999999998</v>
      </c>
    </row>
    <row r="11" spans="1:22" x14ac:dyDescent="0.35">
      <c r="A11" s="1" t="s">
        <v>17</v>
      </c>
      <c r="B11">
        <v>-79.3</v>
      </c>
      <c r="C11" t="s">
        <v>17</v>
      </c>
      <c r="D11">
        <v>-102.06140000000001</v>
      </c>
      <c r="E11">
        <v>-80.634100000000004</v>
      </c>
      <c r="F11">
        <v>-89.953100000000006</v>
      </c>
      <c r="G11">
        <v>-96.349400000000003</v>
      </c>
      <c r="H11">
        <v>-63.103200000000001</v>
      </c>
      <c r="I11">
        <v>-99.283900000000003</v>
      </c>
      <c r="J11">
        <v>-73.7821</v>
      </c>
      <c r="K11">
        <v>-32.777299999999997</v>
      </c>
      <c r="M11" t="s">
        <v>23</v>
      </c>
      <c r="N11">
        <v>-70.5</v>
      </c>
      <c r="O11">
        <v>-99.476399999999998</v>
      </c>
      <c r="P11">
        <v>-80.153800000000004</v>
      </c>
      <c r="Q11">
        <v>-90.089699999999993</v>
      </c>
      <c r="R11">
        <v>-103.4123</v>
      </c>
      <c r="S11">
        <v>-62.589300000000001</v>
      </c>
      <c r="T11">
        <v>-96.986500000000007</v>
      </c>
      <c r="U11">
        <v>-81.935100000000006</v>
      </c>
      <c r="V11">
        <v>-43.843499999999999</v>
      </c>
    </row>
    <row r="12" spans="1:22" x14ac:dyDescent="0.35">
      <c r="A12" s="1" t="s">
        <v>18</v>
      </c>
      <c r="B12">
        <v>-77.2</v>
      </c>
      <c r="C12" t="s">
        <v>18</v>
      </c>
      <c r="D12">
        <v>-86.707899999999995</v>
      </c>
      <c r="E12">
        <v>-68.508200000000002</v>
      </c>
      <c r="F12">
        <v>-76.229100000000003</v>
      </c>
      <c r="G12">
        <v>-81.134500000000003</v>
      </c>
      <c r="H12">
        <v>-55.339100000000002</v>
      </c>
      <c r="I12">
        <v>-81.2119</v>
      </c>
      <c r="J12">
        <v>-62.7714</v>
      </c>
      <c r="K12">
        <v>-25.0029</v>
      </c>
      <c r="M12" t="s">
        <v>10</v>
      </c>
      <c r="N12">
        <v>-75.3</v>
      </c>
      <c r="O12">
        <v>-97.003900000000002</v>
      </c>
      <c r="P12">
        <v>-76.3</v>
      </c>
      <c r="Q12">
        <v>-85.625</v>
      </c>
      <c r="R12">
        <v>-92.020300000000006</v>
      </c>
      <c r="S12">
        <v>-59.276699999999998</v>
      </c>
      <c r="T12">
        <v>-96.042299999999997</v>
      </c>
      <c r="U12">
        <v>-75.62</v>
      </c>
      <c r="V12">
        <v>-40.500999999999998</v>
      </c>
    </row>
    <row r="13" spans="1:22" x14ac:dyDescent="0.35">
      <c r="A13" s="1" t="s">
        <v>19</v>
      </c>
      <c r="B13">
        <v>-82.4</v>
      </c>
      <c r="C13" t="s">
        <v>19</v>
      </c>
      <c r="D13">
        <v>-98.661100000000005</v>
      </c>
      <c r="E13">
        <v>-77.264499999999998</v>
      </c>
      <c r="F13">
        <v>-86.076999999999998</v>
      </c>
      <c r="G13">
        <v>-93.925899999999999</v>
      </c>
      <c r="H13">
        <v>-59.894500000000001</v>
      </c>
      <c r="I13">
        <v>-95.796199999999999</v>
      </c>
      <c r="J13">
        <v>-71.402100000000004</v>
      </c>
      <c r="K13">
        <v>-31.870200000000001</v>
      </c>
      <c r="M13" t="s">
        <v>11</v>
      </c>
      <c r="N13">
        <v>-57.2</v>
      </c>
      <c r="O13">
        <v>-83.244299999999996</v>
      </c>
      <c r="P13">
        <v>-65.4846</v>
      </c>
      <c r="Q13">
        <v>-73.286900000000003</v>
      </c>
      <c r="R13">
        <v>-97.343100000000007</v>
      </c>
      <c r="S13">
        <v>-50.9818</v>
      </c>
      <c r="T13">
        <v>-79.953999999999994</v>
      </c>
      <c r="U13">
        <v>-68.813900000000004</v>
      </c>
      <c r="V13">
        <v>-39.803600000000003</v>
      </c>
    </row>
    <row r="14" spans="1:22" x14ac:dyDescent="0.35">
      <c r="A14" s="1" t="s">
        <v>20</v>
      </c>
      <c r="B14">
        <v>-51.6</v>
      </c>
      <c r="C14" t="s">
        <v>20</v>
      </c>
      <c r="D14">
        <v>-75.292599999999993</v>
      </c>
      <c r="E14">
        <v>-60.606900000000003</v>
      </c>
      <c r="F14">
        <v>-67.686800000000005</v>
      </c>
      <c r="G14">
        <v>-68.921700000000001</v>
      </c>
      <c r="H14">
        <v>-47.000500000000002</v>
      </c>
      <c r="I14">
        <v>-72.886300000000006</v>
      </c>
      <c r="J14">
        <v>-56.617100000000001</v>
      </c>
      <c r="K14">
        <v>-26.8796</v>
      </c>
      <c r="M14" t="s">
        <v>12</v>
      </c>
      <c r="N14">
        <v>-72.599999999999994</v>
      </c>
      <c r="O14">
        <v>-103.1818</v>
      </c>
      <c r="P14">
        <v>-82.240499999999997</v>
      </c>
      <c r="Q14">
        <v>-92.371899999999997</v>
      </c>
      <c r="R14">
        <v>-72.545199999999994</v>
      </c>
      <c r="S14">
        <v>-63.862699999999997</v>
      </c>
      <c r="T14">
        <v>-99.723500000000001</v>
      </c>
      <c r="U14">
        <v>-81.608800000000002</v>
      </c>
      <c r="V14">
        <v>-35.551299999999998</v>
      </c>
    </row>
    <row r="15" spans="1:22" x14ac:dyDescent="0.35">
      <c r="A15" s="1" t="s">
        <v>21</v>
      </c>
      <c r="B15">
        <v>-90.8</v>
      </c>
      <c r="C15" t="s">
        <v>21</v>
      </c>
      <c r="D15">
        <v>-105.6574</v>
      </c>
      <c r="E15">
        <v>-81.877200000000002</v>
      </c>
      <c r="F15">
        <v>-90.642399999999995</v>
      </c>
      <c r="G15">
        <v>-98.934100000000001</v>
      </c>
      <c r="H15">
        <v>-64.953900000000004</v>
      </c>
      <c r="I15">
        <v>-103.76730000000001</v>
      </c>
      <c r="J15">
        <v>-72.237099999999998</v>
      </c>
      <c r="K15">
        <v>-27.688500000000001</v>
      </c>
      <c r="M15" t="s">
        <v>13</v>
      </c>
      <c r="N15">
        <v>-67.3</v>
      </c>
      <c r="O15">
        <v>-85.793000000000006</v>
      </c>
      <c r="P15">
        <v>-66.0398</v>
      </c>
      <c r="Q15">
        <v>-73.374899999999997</v>
      </c>
      <c r="R15">
        <v>-105.3271</v>
      </c>
      <c r="S15">
        <v>-51.314300000000003</v>
      </c>
      <c r="T15">
        <v>-81.979200000000006</v>
      </c>
      <c r="U15">
        <v>-70.764899999999997</v>
      </c>
      <c r="V15">
        <v>-38.292099999999998</v>
      </c>
    </row>
    <row r="16" spans="1:22" x14ac:dyDescent="0.35">
      <c r="A16" s="1" t="s">
        <v>22</v>
      </c>
      <c r="B16">
        <v>-58.5</v>
      </c>
      <c r="C16" t="s">
        <v>22</v>
      </c>
      <c r="D16">
        <v>-74.075299999999999</v>
      </c>
      <c r="E16">
        <v>-59.571100000000001</v>
      </c>
      <c r="F16">
        <v>-66.651799999999994</v>
      </c>
      <c r="G16">
        <v>-68.4816</v>
      </c>
      <c r="H16">
        <v>-46.739400000000003</v>
      </c>
      <c r="I16">
        <v>-70.853499999999997</v>
      </c>
      <c r="J16">
        <v>-57.5702</v>
      </c>
      <c r="K16">
        <v>-27.340499999999999</v>
      </c>
      <c r="M16" t="s">
        <v>14</v>
      </c>
      <c r="N16">
        <v>-49</v>
      </c>
      <c r="O16">
        <v>-84.853200000000001</v>
      </c>
      <c r="P16">
        <v>-67.916899999999998</v>
      </c>
      <c r="Q16">
        <v>-76.725099999999998</v>
      </c>
      <c r="R16">
        <v>-74.747299999999996</v>
      </c>
      <c r="S16">
        <v>-52.564999999999998</v>
      </c>
      <c r="T16">
        <v>-83.434700000000007</v>
      </c>
      <c r="U16">
        <v>-69.734300000000005</v>
      </c>
      <c r="V16">
        <v>-37.253500000000003</v>
      </c>
    </row>
    <row r="17" spans="1:22" x14ac:dyDescent="0.35">
      <c r="A17" s="1" t="s">
        <v>23</v>
      </c>
      <c r="B17">
        <v>-70.5</v>
      </c>
      <c r="C17" t="s">
        <v>23</v>
      </c>
      <c r="D17">
        <v>-96.078800000000001</v>
      </c>
      <c r="E17">
        <v>-76.794700000000006</v>
      </c>
      <c r="F17">
        <v>-85.960899999999995</v>
      </c>
      <c r="G17">
        <v>-91.677199999999999</v>
      </c>
      <c r="H17">
        <v>-60.209600000000002</v>
      </c>
      <c r="I17">
        <v>-95.669399999999996</v>
      </c>
      <c r="J17">
        <v>-73.233999999999995</v>
      </c>
      <c r="K17">
        <v>-38.438299999999998</v>
      </c>
      <c r="M17" t="s">
        <v>15</v>
      </c>
      <c r="N17">
        <v>-76.900000000000006</v>
      </c>
      <c r="O17">
        <v>-93.503200000000007</v>
      </c>
      <c r="P17">
        <v>-72.353899999999996</v>
      </c>
      <c r="Q17">
        <v>-80.447199999999995</v>
      </c>
      <c r="R17">
        <v>-96.438999999999993</v>
      </c>
      <c r="S17">
        <v>-56.603299999999997</v>
      </c>
      <c r="T17">
        <v>-90.180400000000006</v>
      </c>
      <c r="U17">
        <v>-73.261300000000006</v>
      </c>
      <c r="V17">
        <v>-45.006900000000002</v>
      </c>
    </row>
    <row r="18" spans="1:22" x14ac:dyDescent="0.35">
      <c r="A18" s="1" t="s">
        <v>24</v>
      </c>
      <c r="B18">
        <v>-66.8</v>
      </c>
      <c r="C18" t="s">
        <v>24</v>
      </c>
      <c r="D18">
        <v>-91.112899999999996</v>
      </c>
      <c r="E18">
        <v>-69.472099999999998</v>
      </c>
      <c r="F18">
        <v>-76.119900000000001</v>
      </c>
      <c r="G18">
        <v>-82.811099999999996</v>
      </c>
      <c r="H18">
        <v>-56.851199999999999</v>
      </c>
      <c r="I18">
        <v>-84.284999999999997</v>
      </c>
      <c r="J18">
        <v>-60.657800000000002</v>
      </c>
      <c r="K18">
        <v>-15.887499999999999</v>
      </c>
      <c r="M18" t="s">
        <v>24</v>
      </c>
      <c r="N18">
        <v>-66.8</v>
      </c>
      <c r="O18">
        <v>-94.036199999999994</v>
      </c>
      <c r="P18">
        <v>-72.677400000000006</v>
      </c>
      <c r="Q18">
        <v>-80.804900000000004</v>
      </c>
      <c r="R18">
        <v>-90.413899999999998</v>
      </c>
      <c r="S18">
        <v>-57.146500000000003</v>
      </c>
      <c r="T18">
        <v>-90.8369</v>
      </c>
      <c r="U18">
        <v>-72.950199999999995</v>
      </c>
      <c r="V18">
        <v>-29.7089</v>
      </c>
    </row>
    <row r="19" spans="1:22" x14ac:dyDescent="0.35">
      <c r="A19" s="1" t="s">
        <v>25</v>
      </c>
      <c r="B19">
        <v>-70</v>
      </c>
      <c r="C19" t="s">
        <v>25</v>
      </c>
      <c r="D19">
        <v>-100.01179999999999</v>
      </c>
      <c r="E19">
        <v>-79.134200000000007</v>
      </c>
      <c r="F19">
        <v>-88.423400000000001</v>
      </c>
      <c r="G19">
        <v>-93.344700000000003</v>
      </c>
      <c r="H19">
        <v>-62.613100000000003</v>
      </c>
      <c r="I19">
        <v>-97.420199999999994</v>
      </c>
      <c r="J19">
        <v>-71.513999999999996</v>
      </c>
      <c r="K19">
        <v>-29.1889</v>
      </c>
      <c r="M19" t="s">
        <v>25</v>
      </c>
      <c r="N19">
        <v>-70</v>
      </c>
      <c r="O19">
        <v>-103.12739999999999</v>
      </c>
      <c r="P19">
        <v>-81.704300000000003</v>
      </c>
      <c r="Q19">
        <v>-91.769099999999995</v>
      </c>
      <c r="R19">
        <v>-98.774600000000007</v>
      </c>
      <c r="S19">
        <v>-63.153300000000002</v>
      </c>
      <c r="T19">
        <v>-100.4267</v>
      </c>
      <c r="U19">
        <v>-81.751199999999997</v>
      </c>
      <c r="V19">
        <v>-39.509900000000002</v>
      </c>
    </row>
    <row r="20" spans="1:22" x14ac:dyDescent="0.35">
      <c r="A20" s="1" t="s">
        <v>26</v>
      </c>
      <c r="B20">
        <v>-88.3</v>
      </c>
      <c r="C20" t="s">
        <v>26</v>
      </c>
      <c r="D20">
        <v>-109.1234</v>
      </c>
      <c r="E20">
        <v>-87.959000000000003</v>
      </c>
      <c r="F20">
        <v>-99.405500000000004</v>
      </c>
      <c r="G20">
        <v>-102.4256</v>
      </c>
      <c r="H20">
        <v>-68.867400000000004</v>
      </c>
      <c r="I20">
        <v>-105.07599999999999</v>
      </c>
      <c r="J20">
        <v>-79.205500000000001</v>
      </c>
      <c r="K20">
        <v>-39.356499999999997</v>
      </c>
      <c r="M20" t="s">
        <v>26</v>
      </c>
      <c r="N20">
        <v>-88.3</v>
      </c>
      <c r="O20">
        <v>-113.11320000000001</v>
      </c>
      <c r="P20">
        <v>-90.880499999999998</v>
      </c>
      <c r="Q20">
        <v>-102.6477</v>
      </c>
      <c r="R20">
        <v>-108.08759999999999</v>
      </c>
      <c r="S20">
        <v>-69.321799999999996</v>
      </c>
      <c r="T20">
        <v>-109.0551</v>
      </c>
      <c r="U20">
        <v>-89.796400000000006</v>
      </c>
      <c r="V20">
        <v>-47.987400000000001</v>
      </c>
    </row>
    <row r="21" spans="1:22" x14ac:dyDescent="0.35">
      <c r="A21" s="1" t="s">
        <v>27</v>
      </c>
      <c r="B21">
        <v>-128.30000000000001</v>
      </c>
      <c r="C21" t="s">
        <v>27</v>
      </c>
      <c r="D21">
        <v>-176.9521</v>
      </c>
      <c r="E21">
        <v>-138.15039999999999</v>
      </c>
      <c r="F21">
        <v>-153.5419</v>
      </c>
      <c r="G21">
        <v>-166.6677</v>
      </c>
      <c r="H21">
        <v>-110.6961</v>
      </c>
      <c r="I21">
        <v>-179.2422</v>
      </c>
      <c r="J21">
        <v>-100.0278</v>
      </c>
      <c r="K21">
        <v>-27.651800000000001</v>
      </c>
      <c r="M21" t="s">
        <v>29</v>
      </c>
      <c r="N21">
        <v>-67</v>
      </c>
      <c r="O21">
        <v>-97.194999999999993</v>
      </c>
      <c r="P21">
        <v>-75.685900000000004</v>
      </c>
      <c r="Q21">
        <v>-84.650099999999995</v>
      </c>
      <c r="R21">
        <v>-92.847399999999993</v>
      </c>
      <c r="S21">
        <v>-58.797499999999999</v>
      </c>
      <c r="T21">
        <v>-94.525300000000001</v>
      </c>
      <c r="U21">
        <v>-76.621700000000004</v>
      </c>
      <c r="V21">
        <v>-33.645200000000003</v>
      </c>
    </row>
    <row r="22" spans="1:22" x14ac:dyDescent="0.35">
      <c r="A22" s="1" t="s">
        <v>28</v>
      </c>
      <c r="B22">
        <v>-136.80000000000001</v>
      </c>
      <c r="C22" t="s">
        <v>28</v>
      </c>
      <c r="D22">
        <v>-174.1011</v>
      </c>
      <c r="E22">
        <v>-135.54730000000001</v>
      </c>
      <c r="F22">
        <v>-151.3655</v>
      </c>
      <c r="G22">
        <v>-163.9881</v>
      </c>
      <c r="H22">
        <v>-106.779</v>
      </c>
      <c r="I22">
        <v>-174.6891</v>
      </c>
      <c r="J22">
        <v>-101.44840000000001</v>
      </c>
      <c r="K22">
        <v>-33.984999999999999</v>
      </c>
      <c r="M22" t="s">
        <v>30</v>
      </c>
      <c r="N22">
        <v>-83.4</v>
      </c>
      <c r="O22">
        <v>-101.68389999999999</v>
      </c>
      <c r="P22">
        <v>-80.668400000000005</v>
      </c>
      <c r="Q22">
        <v>-90.536000000000001</v>
      </c>
      <c r="R22">
        <v>-97.690399999999997</v>
      </c>
      <c r="S22">
        <v>-62.773600000000002</v>
      </c>
      <c r="T22">
        <v>-98.387</v>
      </c>
      <c r="U22">
        <v>-81.752099999999999</v>
      </c>
      <c r="V22">
        <v>-40.432899999999997</v>
      </c>
    </row>
    <row r="23" spans="1:22" x14ac:dyDescent="0.35">
      <c r="A23" s="1" t="s">
        <v>29</v>
      </c>
      <c r="B23">
        <v>-67</v>
      </c>
      <c r="C23" t="s">
        <v>29</v>
      </c>
      <c r="D23">
        <v>-92.962199999999996</v>
      </c>
      <c r="E23">
        <v>-71.984999999999999</v>
      </c>
      <c r="F23">
        <v>-79.783900000000003</v>
      </c>
      <c r="G23">
        <v>-85.721999999999994</v>
      </c>
      <c r="H23">
        <v>-57.2376</v>
      </c>
      <c r="I23">
        <v>-88.019400000000005</v>
      </c>
      <c r="J23">
        <v>-63.706699999999998</v>
      </c>
      <c r="K23">
        <v>-21.252500000000001</v>
      </c>
      <c r="M23" t="s">
        <v>31</v>
      </c>
      <c r="N23">
        <v>-71.099999999999994</v>
      </c>
      <c r="O23">
        <v>-99.330200000000005</v>
      </c>
      <c r="P23">
        <v>-78.564300000000003</v>
      </c>
      <c r="Q23">
        <v>-87.945899999999995</v>
      </c>
      <c r="R23">
        <v>-95.952500000000001</v>
      </c>
      <c r="S23">
        <v>-62.036700000000003</v>
      </c>
      <c r="T23">
        <v>-98.947599999999994</v>
      </c>
      <c r="U23">
        <v>-78.9148</v>
      </c>
      <c r="V23">
        <v>-37.504600000000003</v>
      </c>
    </row>
    <row r="24" spans="1:22" x14ac:dyDescent="0.35">
      <c r="A24" s="1" t="s">
        <v>30</v>
      </c>
      <c r="B24">
        <v>-83.4</v>
      </c>
      <c r="C24" t="s">
        <v>30</v>
      </c>
      <c r="D24">
        <v>-100.089</v>
      </c>
      <c r="E24">
        <v>-79.466499999999996</v>
      </c>
      <c r="F24">
        <v>-88.984700000000004</v>
      </c>
      <c r="G24">
        <v>-95.776799999999994</v>
      </c>
      <c r="H24">
        <v>-62.348799999999997</v>
      </c>
      <c r="I24">
        <v>-96.581199999999995</v>
      </c>
      <c r="J24">
        <v>-74.132199999999997</v>
      </c>
      <c r="K24">
        <v>-35.917999999999999</v>
      </c>
      <c r="M24" t="s">
        <v>32</v>
      </c>
      <c r="N24">
        <v>-74.2</v>
      </c>
      <c r="O24">
        <v>-101.6182</v>
      </c>
      <c r="P24">
        <v>-80.443799999999996</v>
      </c>
      <c r="Q24">
        <v>-90.068799999999996</v>
      </c>
      <c r="R24">
        <v>-97.047600000000003</v>
      </c>
      <c r="S24">
        <v>-63.387799999999999</v>
      </c>
      <c r="T24">
        <v>-99.363600000000005</v>
      </c>
      <c r="U24">
        <v>-81.478700000000003</v>
      </c>
      <c r="V24">
        <v>-39.312199999999997</v>
      </c>
    </row>
    <row r="25" spans="1:22" x14ac:dyDescent="0.35">
      <c r="A25" s="1" t="s">
        <v>31</v>
      </c>
      <c r="B25">
        <v>-71.099999999999994</v>
      </c>
      <c r="C25" t="s">
        <v>31</v>
      </c>
      <c r="D25">
        <v>-97.334100000000007</v>
      </c>
      <c r="E25">
        <v>-76.657399999999996</v>
      </c>
      <c r="F25">
        <v>-85.069299999999998</v>
      </c>
      <c r="G25">
        <v>-90.837699999999998</v>
      </c>
      <c r="H25">
        <v>-61.647500000000001</v>
      </c>
      <c r="I25">
        <v>-90.614699999999999</v>
      </c>
      <c r="J25">
        <v>-68.243200000000002</v>
      </c>
      <c r="K25">
        <v>-26.1418</v>
      </c>
      <c r="M25" t="s">
        <v>61</v>
      </c>
      <c r="N25">
        <v>-74.2</v>
      </c>
      <c r="O25">
        <v>-95.291399999999996</v>
      </c>
      <c r="P25">
        <v>-76.384200000000007</v>
      </c>
      <c r="Q25">
        <v>-85.695800000000006</v>
      </c>
      <c r="R25">
        <v>-95.051400000000001</v>
      </c>
      <c r="S25">
        <v>-59.139699999999998</v>
      </c>
      <c r="T25">
        <v>-86.76</v>
      </c>
      <c r="U25">
        <v>-76.5017</v>
      </c>
      <c r="V25">
        <v>-35.148899999999998</v>
      </c>
    </row>
    <row r="26" spans="1:22" x14ac:dyDescent="0.35">
      <c r="A26" s="1" t="s">
        <v>32</v>
      </c>
      <c r="B26">
        <v>-74.2</v>
      </c>
      <c r="C26" t="s">
        <v>32</v>
      </c>
      <c r="D26">
        <v>-99.918099999999995</v>
      </c>
      <c r="E26">
        <v>-78.735699999999994</v>
      </c>
      <c r="F26">
        <v>-87.634900000000002</v>
      </c>
      <c r="G26">
        <v>-93.465400000000002</v>
      </c>
      <c r="H26">
        <v>-62.725099999999998</v>
      </c>
      <c r="I26">
        <v>-94.293099999999995</v>
      </c>
      <c r="J26">
        <v>-72.166399999999996</v>
      </c>
      <c r="K26">
        <v>-31.0503</v>
      </c>
      <c r="M26" t="s">
        <v>62</v>
      </c>
      <c r="N26">
        <v>-76.2</v>
      </c>
      <c r="O26">
        <v>-94.171499999999995</v>
      </c>
      <c r="P26">
        <v>-75.382999999999996</v>
      </c>
      <c r="Q26">
        <v>-84.593699999999998</v>
      </c>
      <c r="R26">
        <v>-96.036699999999996</v>
      </c>
      <c r="S26">
        <v>-58.407899999999998</v>
      </c>
      <c r="T26">
        <v>-86.011200000000002</v>
      </c>
      <c r="U26">
        <v>-75.159400000000005</v>
      </c>
      <c r="V26">
        <v>-35.976599999999998</v>
      </c>
    </row>
    <row r="27" spans="1:22" x14ac:dyDescent="0.35">
      <c r="A27" s="1" t="s">
        <v>33</v>
      </c>
      <c r="B27">
        <v>-77.400000000000006</v>
      </c>
      <c r="C27" t="s">
        <v>33</v>
      </c>
      <c r="D27">
        <v>-99.522800000000004</v>
      </c>
      <c r="E27">
        <v>-78.872600000000006</v>
      </c>
      <c r="F27">
        <v>-87.971299999999999</v>
      </c>
      <c r="G27">
        <v>-94.835700000000003</v>
      </c>
      <c r="H27">
        <v>-61.613100000000003</v>
      </c>
      <c r="I27">
        <v>-93.361400000000003</v>
      </c>
      <c r="J27">
        <v>-71.765199999999993</v>
      </c>
      <c r="K27">
        <v>-32.2682</v>
      </c>
      <c r="M27" t="s">
        <v>63</v>
      </c>
      <c r="N27">
        <v>-77.2</v>
      </c>
      <c r="O27">
        <v>-94.332999999999998</v>
      </c>
      <c r="P27">
        <v>-75.523399999999995</v>
      </c>
      <c r="Q27">
        <v>-84.669499999999999</v>
      </c>
      <c r="R27">
        <v>-96.699200000000005</v>
      </c>
      <c r="S27">
        <v>-58.471200000000003</v>
      </c>
      <c r="T27">
        <v>-87.224800000000002</v>
      </c>
      <c r="U27">
        <v>-75.261200000000002</v>
      </c>
      <c r="V27">
        <v>-37.164400000000001</v>
      </c>
    </row>
    <row r="28" spans="1:22" x14ac:dyDescent="0.35">
      <c r="A28" s="1" t="s">
        <v>34</v>
      </c>
      <c r="B28">
        <v>-72.8</v>
      </c>
      <c r="C28" t="s">
        <v>34</v>
      </c>
      <c r="D28">
        <v>-93.948899999999995</v>
      </c>
      <c r="E28">
        <v>-73.482600000000005</v>
      </c>
      <c r="F28">
        <v>-81.294600000000003</v>
      </c>
      <c r="G28">
        <v>-89.159400000000005</v>
      </c>
      <c r="H28">
        <v>-58.857199999999999</v>
      </c>
      <c r="I28">
        <v>-79.286199999999994</v>
      </c>
      <c r="J28">
        <v>-66.210999999999999</v>
      </c>
      <c r="K28">
        <v>-24.735800000000001</v>
      </c>
      <c r="M28" t="s">
        <v>64</v>
      </c>
      <c r="N28">
        <v>-75.5</v>
      </c>
      <c r="O28">
        <v>-95.050799999999995</v>
      </c>
      <c r="P28">
        <v>-76.329700000000003</v>
      </c>
      <c r="Q28">
        <v>-85.418599999999998</v>
      </c>
      <c r="R28">
        <v>-95.524699999999996</v>
      </c>
      <c r="S28">
        <v>-59.3337</v>
      </c>
      <c r="T28">
        <v>-88.785200000000003</v>
      </c>
      <c r="U28">
        <v>-76.208399999999997</v>
      </c>
      <c r="V28">
        <v>-35.661999999999999</v>
      </c>
    </row>
    <row r="29" spans="1:22" x14ac:dyDescent="0.35">
      <c r="A29" s="1" t="s">
        <v>35</v>
      </c>
      <c r="B29">
        <v>-72.3</v>
      </c>
      <c r="C29" t="s">
        <v>35</v>
      </c>
      <c r="D29">
        <v>-97.230599999999995</v>
      </c>
      <c r="E29">
        <v>-76.699600000000004</v>
      </c>
      <c r="F29">
        <v>-85.467600000000004</v>
      </c>
      <c r="G29">
        <v>-92.731499999999997</v>
      </c>
      <c r="H29">
        <v>-61.060499999999998</v>
      </c>
      <c r="I29">
        <v>-86.090900000000005</v>
      </c>
      <c r="J29">
        <v>-69.984200000000001</v>
      </c>
      <c r="K29">
        <v>-29.461600000000001</v>
      </c>
      <c r="M29" t="s">
        <v>65</v>
      </c>
      <c r="N29">
        <v>-79.3</v>
      </c>
      <c r="O29">
        <v>-101.136</v>
      </c>
      <c r="P29">
        <v>-80.730800000000002</v>
      </c>
      <c r="Q29">
        <v>-91.155100000000004</v>
      </c>
      <c r="R29">
        <v>-79.714799999999997</v>
      </c>
      <c r="S29">
        <v>-62.904000000000003</v>
      </c>
      <c r="T29">
        <v>-97.632400000000004</v>
      </c>
      <c r="U29">
        <v>-79.885300000000001</v>
      </c>
      <c r="V29">
        <v>-36.111899999999999</v>
      </c>
    </row>
    <row r="30" spans="1:22" x14ac:dyDescent="0.35">
      <c r="A30" s="1" t="s">
        <v>36</v>
      </c>
      <c r="B30">
        <v>-73.7</v>
      </c>
      <c r="C30" t="s">
        <v>36</v>
      </c>
      <c r="D30">
        <v>-96.332899999999995</v>
      </c>
      <c r="E30">
        <v>-75.931399999999996</v>
      </c>
      <c r="F30">
        <v>-84.813400000000001</v>
      </c>
      <c r="G30">
        <v>-92.002099999999999</v>
      </c>
      <c r="H30">
        <v>-59.923499999999997</v>
      </c>
      <c r="I30">
        <v>-90.996099999999998</v>
      </c>
      <c r="J30">
        <v>-68.609800000000007</v>
      </c>
      <c r="K30">
        <v>-29.327000000000002</v>
      </c>
      <c r="M30" t="s">
        <v>66</v>
      </c>
      <c r="N30">
        <v>-76.8</v>
      </c>
      <c r="O30">
        <v>-102.3871</v>
      </c>
      <c r="P30">
        <v>-81.943899999999999</v>
      </c>
      <c r="Q30">
        <v>-92.453999999999994</v>
      </c>
      <c r="R30">
        <v>-80.868300000000005</v>
      </c>
      <c r="S30">
        <v>-63.542900000000003</v>
      </c>
      <c r="T30">
        <v>-93.258399999999995</v>
      </c>
      <c r="U30">
        <v>-81.515100000000004</v>
      </c>
      <c r="V30">
        <v>-35.064100000000003</v>
      </c>
    </row>
    <row r="31" spans="1:22" x14ac:dyDescent="0.35">
      <c r="A31" s="1" t="s">
        <v>37</v>
      </c>
      <c r="B31">
        <v>-58.1</v>
      </c>
      <c r="C31" t="s">
        <v>37</v>
      </c>
      <c r="D31">
        <v>-77.435199999999995</v>
      </c>
      <c r="E31">
        <v>-60.664999999999999</v>
      </c>
      <c r="F31">
        <v>-67.235299999999995</v>
      </c>
      <c r="G31">
        <v>-71.828000000000003</v>
      </c>
      <c r="H31">
        <v>-48.587600000000002</v>
      </c>
      <c r="I31">
        <v>-69.726200000000006</v>
      </c>
      <c r="J31">
        <v>-57.880299999999998</v>
      </c>
      <c r="K31">
        <v>-23.4193</v>
      </c>
      <c r="M31" t="s">
        <v>67</v>
      </c>
      <c r="N31">
        <v>-73.900000000000006</v>
      </c>
      <c r="O31">
        <v>-101.5478</v>
      </c>
      <c r="P31">
        <v>-80.933999999999997</v>
      </c>
      <c r="Q31">
        <v>-91.230900000000005</v>
      </c>
      <c r="R31">
        <v>-79.392099999999999</v>
      </c>
      <c r="S31">
        <v>-62.825899999999997</v>
      </c>
      <c r="T31">
        <v>-98.657399999999996</v>
      </c>
      <c r="U31">
        <v>-80.169300000000007</v>
      </c>
      <c r="V31">
        <v>-33.944099999999999</v>
      </c>
    </row>
    <row r="32" spans="1:22" x14ac:dyDescent="0.35">
      <c r="A32" s="1" t="s">
        <v>38</v>
      </c>
      <c r="B32">
        <v>-57.4</v>
      </c>
      <c r="C32" t="s">
        <v>38</v>
      </c>
      <c r="D32">
        <v>-79.7624</v>
      </c>
      <c r="E32">
        <v>-62.9392</v>
      </c>
      <c r="F32">
        <v>-70.042900000000003</v>
      </c>
      <c r="G32">
        <v>-73.975899999999996</v>
      </c>
      <c r="H32">
        <v>-49.560200000000002</v>
      </c>
      <c r="I32">
        <v>-69.483199999999997</v>
      </c>
      <c r="J32">
        <v>-61.057699999999997</v>
      </c>
      <c r="K32">
        <v>-28.471299999999999</v>
      </c>
      <c r="M32" t="s">
        <v>68</v>
      </c>
      <c r="N32">
        <v>-74</v>
      </c>
      <c r="O32">
        <v>-101.85720000000001</v>
      </c>
      <c r="P32">
        <v>-81.471199999999996</v>
      </c>
      <c r="Q32">
        <v>-91.786199999999994</v>
      </c>
      <c r="R32">
        <v>-79.213899999999995</v>
      </c>
      <c r="S32">
        <v>-63.238799999999998</v>
      </c>
      <c r="T32">
        <v>-95.506500000000003</v>
      </c>
      <c r="U32">
        <v>-81.278499999999994</v>
      </c>
      <c r="V32">
        <v>-44.417299999999997</v>
      </c>
    </row>
    <row r="33" spans="1:22" x14ac:dyDescent="0.35">
      <c r="A33" s="1" t="s">
        <v>39</v>
      </c>
      <c r="B33">
        <v>-63</v>
      </c>
      <c r="C33" t="s">
        <v>39</v>
      </c>
      <c r="D33">
        <v>-79.057400000000001</v>
      </c>
      <c r="E33">
        <v>-62.514000000000003</v>
      </c>
      <c r="F33">
        <v>-69.358800000000002</v>
      </c>
      <c r="G33">
        <v>-74.006600000000006</v>
      </c>
      <c r="H33">
        <v>-49.237699999999997</v>
      </c>
      <c r="I33">
        <v>-67.093699999999998</v>
      </c>
      <c r="J33">
        <v>-60.2498</v>
      </c>
      <c r="K33">
        <v>-27.165199999999999</v>
      </c>
      <c r="M33" t="s">
        <v>69</v>
      </c>
      <c r="N33">
        <v>-76.599999999999994</v>
      </c>
      <c r="O33">
        <v>-101.7317</v>
      </c>
      <c r="P33">
        <v>-81.320300000000003</v>
      </c>
      <c r="Q33">
        <v>-91.5124</v>
      </c>
      <c r="R33">
        <v>-102.63379999999999</v>
      </c>
      <c r="S33">
        <v>-63.411000000000001</v>
      </c>
      <c r="T33">
        <v>-92.030900000000003</v>
      </c>
      <c r="U33">
        <v>-81.447599999999994</v>
      </c>
      <c r="V33">
        <v>-44.6995</v>
      </c>
    </row>
    <row r="34" spans="1:22" x14ac:dyDescent="0.35">
      <c r="A34" s="1" t="s">
        <v>40</v>
      </c>
      <c r="B34">
        <v>-59.1</v>
      </c>
      <c r="C34" t="s">
        <v>40</v>
      </c>
      <c r="D34">
        <v>-78.602999999999994</v>
      </c>
      <c r="E34">
        <v>-62.097499999999997</v>
      </c>
      <c r="F34">
        <v>-69.185500000000005</v>
      </c>
      <c r="G34">
        <v>-72.330299999999994</v>
      </c>
      <c r="H34">
        <v>-48.822600000000001</v>
      </c>
      <c r="I34">
        <v>-69.942099999999996</v>
      </c>
      <c r="J34">
        <v>-59.5274</v>
      </c>
      <c r="K34">
        <v>-26.2453</v>
      </c>
      <c r="M34" t="s">
        <v>70</v>
      </c>
      <c r="N34">
        <v>-82.9</v>
      </c>
      <c r="O34">
        <v>-107.8279</v>
      </c>
      <c r="P34">
        <v>-86.306100000000001</v>
      </c>
      <c r="Q34">
        <v>-97.233099999999993</v>
      </c>
      <c r="R34">
        <v>-102.52930000000001</v>
      </c>
      <c r="S34">
        <v>-67.167199999999994</v>
      </c>
      <c r="T34">
        <v>-102.7627</v>
      </c>
      <c r="U34">
        <v>-86.285300000000007</v>
      </c>
      <c r="V34">
        <v>-44.206600000000002</v>
      </c>
    </row>
    <row r="35" spans="1:22" x14ac:dyDescent="0.35">
      <c r="A35" s="1" t="s">
        <v>41</v>
      </c>
      <c r="B35">
        <v>-58.9</v>
      </c>
      <c r="C35" t="s">
        <v>41</v>
      </c>
      <c r="D35">
        <v>-77.139399999999995</v>
      </c>
      <c r="E35">
        <v>-60.4527</v>
      </c>
      <c r="F35">
        <v>-66.936099999999996</v>
      </c>
      <c r="G35">
        <v>-70.690399999999997</v>
      </c>
      <c r="H35">
        <v>-47.354500000000002</v>
      </c>
      <c r="I35">
        <v>-70.160799999999995</v>
      </c>
      <c r="J35">
        <v>-57.4086</v>
      </c>
      <c r="K35">
        <v>-23.156300000000002</v>
      </c>
      <c r="M35" t="s">
        <v>71</v>
      </c>
      <c r="N35">
        <v>-81</v>
      </c>
      <c r="O35">
        <v>-109.0894</v>
      </c>
      <c r="P35">
        <v>-87.485299999999995</v>
      </c>
      <c r="Q35">
        <v>-98.424499999999995</v>
      </c>
      <c r="R35">
        <v>-102.69159999999999</v>
      </c>
      <c r="S35">
        <v>-67.920500000000004</v>
      </c>
      <c r="T35">
        <v>-101.0526</v>
      </c>
      <c r="U35">
        <v>-88.089600000000004</v>
      </c>
      <c r="V35">
        <v>-42.686</v>
      </c>
    </row>
    <row r="36" spans="1:22" x14ac:dyDescent="0.35">
      <c r="A36" s="1" t="s">
        <v>42</v>
      </c>
      <c r="B36">
        <v>-72.3</v>
      </c>
      <c r="C36" t="s">
        <v>42</v>
      </c>
      <c r="D36">
        <v>-103.0369</v>
      </c>
      <c r="E36">
        <v>-82.361199999999997</v>
      </c>
      <c r="F36">
        <v>-92.124300000000005</v>
      </c>
      <c r="G36">
        <v>-97.160300000000007</v>
      </c>
      <c r="H36">
        <v>-64.601399999999998</v>
      </c>
      <c r="I36">
        <v>-95.501300000000001</v>
      </c>
      <c r="J36">
        <v>-75.804199999999994</v>
      </c>
      <c r="K36">
        <v>-37.038800000000002</v>
      </c>
      <c r="M36" t="s">
        <v>72</v>
      </c>
      <c r="N36">
        <v>-81.099999999999994</v>
      </c>
      <c r="O36">
        <v>-107.98699999999999</v>
      </c>
      <c r="P36">
        <v>-86.287999999999997</v>
      </c>
      <c r="Q36">
        <v>-97.180700000000002</v>
      </c>
      <c r="R36">
        <v>-100.01909999999999</v>
      </c>
      <c r="S36">
        <v>-66.640699999999995</v>
      </c>
      <c r="T36">
        <v>-103.1143</v>
      </c>
      <c r="U36">
        <v>-85.849299999999999</v>
      </c>
      <c r="V36">
        <v>-43.185899999999997</v>
      </c>
    </row>
    <row r="37" spans="1:22" x14ac:dyDescent="0.35">
      <c r="A37" s="1" t="s">
        <v>43</v>
      </c>
      <c r="B37">
        <v>-74</v>
      </c>
      <c r="C37" t="s">
        <v>43</v>
      </c>
      <c r="D37">
        <v>-102.08029999999999</v>
      </c>
      <c r="E37">
        <v>-81.511099999999999</v>
      </c>
      <c r="F37">
        <v>-90.958299999999994</v>
      </c>
      <c r="G37">
        <v>-96.046999999999997</v>
      </c>
      <c r="H37">
        <v>-64.3001</v>
      </c>
      <c r="I37">
        <v>-94.776700000000005</v>
      </c>
      <c r="J37">
        <v>-75.235799999999998</v>
      </c>
      <c r="K37">
        <v>-36.7149</v>
      </c>
      <c r="M37" t="s">
        <v>73</v>
      </c>
      <c r="N37">
        <v>-78.2</v>
      </c>
      <c r="O37">
        <v>-108.19750000000001</v>
      </c>
      <c r="P37">
        <v>-86.478899999999996</v>
      </c>
      <c r="Q37">
        <v>-97.379599999999996</v>
      </c>
      <c r="R37">
        <v>-101.7043</v>
      </c>
      <c r="S37">
        <v>-66.960899999999995</v>
      </c>
      <c r="T37">
        <v>-104.36839999999999</v>
      </c>
      <c r="U37">
        <v>-86.670299999999997</v>
      </c>
      <c r="V37">
        <v>-43.136699999999998</v>
      </c>
    </row>
    <row r="38" spans="1:22" x14ac:dyDescent="0.35">
      <c r="A38" s="1" t="s">
        <v>44</v>
      </c>
      <c r="B38">
        <v>-75.2</v>
      </c>
      <c r="C38" t="s">
        <v>44</v>
      </c>
      <c r="D38">
        <v>-102.8152</v>
      </c>
      <c r="E38">
        <v>-82.0548</v>
      </c>
      <c r="F38">
        <v>-91.588800000000006</v>
      </c>
      <c r="G38">
        <v>-96.573400000000007</v>
      </c>
      <c r="H38">
        <v>-64.494299999999996</v>
      </c>
      <c r="I38">
        <v>-94.507400000000004</v>
      </c>
      <c r="J38">
        <v>-75.807000000000002</v>
      </c>
      <c r="K38">
        <v>-36.797699999999999</v>
      </c>
      <c r="M38" t="s">
        <v>74</v>
      </c>
      <c r="N38">
        <v>-78.7</v>
      </c>
      <c r="O38">
        <v>-108.3622</v>
      </c>
      <c r="P38">
        <v>-86.689800000000005</v>
      </c>
      <c r="Q38">
        <v>-97.62</v>
      </c>
      <c r="R38">
        <v>-101.66</v>
      </c>
      <c r="S38">
        <v>-66.852099999999993</v>
      </c>
      <c r="T38">
        <v>-97.926900000000003</v>
      </c>
      <c r="U38">
        <v>-87.234099999999998</v>
      </c>
      <c r="V38">
        <v>-36.302500000000002</v>
      </c>
    </row>
    <row r="39" spans="1:22" x14ac:dyDescent="0.35">
      <c r="A39" s="1" t="s">
        <v>45</v>
      </c>
      <c r="B39">
        <v>-76.900000000000006</v>
      </c>
      <c r="C39" t="s">
        <v>45</v>
      </c>
      <c r="D39">
        <v>-103.7521</v>
      </c>
      <c r="E39">
        <v>-83.007300000000001</v>
      </c>
      <c r="F39">
        <v>-92.777900000000002</v>
      </c>
      <c r="G39">
        <v>-97.712800000000001</v>
      </c>
      <c r="H39">
        <v>-65.088899999999995</v>
      </c>
      <c r="I39">
        <v>-91.693799999999996</v>
      </c>
      <c r="J39">
        <v>-76.266199999999998</v>
      </c>
      <c r="K39">
        <v>-36.930399999999999</v>
      </c>
      <c r="M39" t="s">
        <v>75</v>
      </c>
      <c r="N39">
        <v>-74.5</v>
      </c>
      <c r="O39">
        <v>-98.265100000000004</v>
      </c>
      <c r="P39">
        <v>-79.630899999999997</v>
      </c>
      <c r="Q39">
        <v>-89.4148</v>
      </c>
      <c r="R39">
        <v>-86.689899999999994</v>
      </c>
      <c r="S39">
        <v>-61.811500000000002</v>
      </c>
      <c r="T39">
        <v>-90.132099999999994</v>
      </c>
      <c r="U39">
        <v>-78.631299999999996</v>
      </c>
      <c r="V39">
        <v>-35.155799999999999</v>
      </c>
    </row>
    <row r="40" spans="1:22" x14ac:dyDescent="0.35">
      <c r="A40" s="1" t="s">
        <v>46</v>
      </c>
      <c r="B40">
        <v>-69.400000000000006</v>
      </c>
      <c r="C40" t="s">
        <v>46</v>
      </c>
      <c r="D40">
        <v>-102.4145</v>
      </c>
      <c r="E40">
        <v>-81.917699999999996</v>
      </c>
      <c r="F40">
        <v>-91.569500000000005</v>
      </c>
      <c r="G40">
        <v>-95.861000000000004</v>
      </c>
      <c r="H40">
        <v>-64.964500000000001</v>
      </c>
      <c r="I40">
        <v>-93.857200000000006</v>
      </c>
      <c r="J40">
        <v>-74.199200000000005</v>
      </c>
      <c r="K40">
        <v>-34.531799999999997</v>
      </c>
      <c r="M40" t="s">
        <v>76</v>
      </c>
      <c r="N40">
        <v>-74.099999999999994</v>
      </c>
      <c r="O40">
        <v>-97.86</v>
      </c>
      <c r="P40">
        <v>-79.307699999999997</v>
      </c>
      <c r="Q40">
        <v>-89.092600000000004</v>
      </c>
      <c r="R40">
        <v>-85.034700000000001</v>
      </c>
      <c r="S40">
        <v>-61.712499999999999</v>
      </c>
      <c r="T40">
        <v>-87.708699999999993</v>
      </c>
      <c r="U40">
        <v>-77.977500000000006</v>
      </c>
      <c r="V40">
        <v>-34.870800000000003</v>
      </c>
    </row>
    <row r="41" spans="1:22" x14ac:dyDescent="0.35">
      <c r="A41" s="1" t="s">
        <v>47</v>
      </c>
      <c r="B41">
        <v>-72.400000000000006</v>
      </c>
      <c r="C41" t="s">
        <v>47</v>
      </c>
      <c r="D41">
        <v>-103.2629</v>
      </c>
      <c r="E41">
        <v>-82.694100000000006</v>
      </c>
      <c r="F41">
        <v>-92.731499999999997</v>
      </c>
      <c r="G41">
        <v>-97.995900000000006</v>
      </c>
      <c r="H41">
        <v>-64.608999999999995</v>
      </c>
      <c r="I41">
        <v>-99.287700000000001</v>
      </c>
      <c r="J41">
        <v>-76.045400000000001</v>
      </c>
      <c r="K41">
        <v>-38.212699999999998</v>
      </c>
      <c r="M41" t="s">
        <v>77</v>
      </c>
      <c r="N41">
        <v>-74.7</v>
      </c>
      <c r="O41">
        <v>-97.908000000000001</v>
      </c>
      <c r="P41">
        <v>-79.171400000000006</v>
      </c>
      <c r="Q41">
        <v>-89.36</v>
      </c>
      <c r="R41">
        <v>-84.972200000000001</v>
      </c>
      <c r="S41">
        <v>-61.1952</v>
      </c>
      <c r="T41">
        <v>-91.970399999999998</v>
      </c>
      <c r="U41">
        <v>-78.247799999999998</v>
      </c>
      <c r="V41">
        <v>-35.427799999999998</v>
      </c>
    </row>
    <row r="42" spans="1:22" x14ac:dyDescent="0.35">
      <c r="A42" s="1" t="s">
        <v>49</v>
      </c>
      <c r="B42">
        <v>-61.8</v>
      </c>
      <c r="C42" t="s">
        <v>49</v>
      </c>
      <c r="D42">
        <v>-83.108900000000006</v>
      </c>
      <c r="E42">
        <v>-64.117099999999994</v>
      </c>
      <c r="F42">
        <v>-70.938999999999993</v>
      </c>
      <c r="G42">
        <v>-79.888199999999998</v>
      </c>
      <c r="H42">
        <v>-50.309100000000001</v>
      </c>
      <c r="I42">
        <v>-73.962999999999994</v>
      </c>
      <c r="J42">
        <v>-62.811</v>
      </c>
      <c r="K42">
        <v>-26.499700000000001</v>
      </c>
      <c r="M42" t="s">
        <v>78</v>
      </c>
      <c r="N42">
        <v>-75</v>
      </c>
      <c r="O42">
        <v>-97.873699999999999</v>
      </c>
      <c r="P42">
        <v>-79.021600000000007</v>
      </c>
      <c r="Q42">
        <v>-88.9084</v>
      </c>
      <c r="R42">
        <v>-86.149299999999997</v>
      </c>
      <c r="S42">
        <v>-60.7791</v>
      </c>
      <c r="T42">
        <v>-86.637</v>
      </c>
      <c r="U42">
        <v>-78.479799999999997</v>
      </c>
      <c r="V42">
        <v>-37.19</v>
      </c>
    </row>
    <row r="43" spans="1:22" x14ac:dyDescent="0.35">
      <c r="A43" s="1" t="s">
        <v>50</v>
      </c>
      <c r="B43">
        <v>-67.2</v>
      </c>
      <c r="C43" t="s">
        <v>50</v>
      </c>
      <c r="D43">
        <v>-82.8416</v>
      </c>
      <c r="E43">
        <v>-64.173199999999994</v>
      </c>
      <c r="F43">
        <v>-71.005099999999999</v>
      </c>
      <c r="G43">
        <v>-79.084299999999999</v>
      </c>
      <c r="H43">
        <v>-50.541699999999999</v>
      </c>
      <c r="I43">
        <v>-73.852999999999994</v>
      </c>
      <c r="J43">
        <v>-63.615099999999998</v>
      </c>
      <c r="K43">
        <v>-28.243099999999998</v>
      </c>
      <c r="M43" t="s">
        <v>79</v>
      </c>
      <c r="N43">
        <v>-77.2</v>
      </c>
      <c r="O43">
        <v>-103.6528</v>
      </c>
      <c r="P43">
        <v>-82.305499999999995</v>
      </c>
      <c r="Q43">
        <v>-92.319900000000004</v>
      </c>
      <c r="R43">
        <v>-83.436000000000007</v>
      </c>
      <c r="S43">
        <v>-63.205599999999997</v>
      </c>
      <c r="T43">
        <v>-97.960800000000006</v>
      </c>
      <c r="U43">
        <v>-80.865700000000004</v>
      </c>
      <c r="V43">
        <v>-35.700200000000002</v>
      </c>
    </row>
    <row r="44" spans="1:22" x14ac:dyDescent="0.35">
      <c r="A44" s="1" t="s">
        <v>51</v>
      </c>
      <c r="B44">
        <v>-65.400000000000006</v>
      </c>
      <c r="C44" t="s">
        <v>51</v>
      </c>
      <c r="D44">
        <v>-81.063999999999993</v>
      </c>
      <c r="E44">
        <v>-62.688699999999997</v>
      </c>
      <c r="F44">
        <v>-69.371700000000004</v>
      </c>
      <c r="G44">
        <v>-77.707400000000007</v>
      </c>
      <c r="H44">
        <v>-49.425600000000003</v>
      </c>
      <c r="I44">
        <v>-74.875799999999998</v>
      </c>
      <c r="J44">
        <v>-61.049399999999999</v>
      </c>
      <c r="K44">
        <v>-25.843</v>
      </c>
      <c r="M44" t="s">
        <v>80</v>
      </c>
      <c r="N44">
        <v>-75.8</v>
      </c>
      <c r="O44">
        <v>-103.51900000000001</v>
      </c>
      <c r="P44">
        <v>-82.237399999999994</v>
      </c>
      <c r="Q44">
        <v>-92.241299999999995</v>
      </c>
      <c r="R44">
        <v>-82.016900000000007</v>
      </c>
      <c r="S44">
        <v>-63.116300000000003</v>
      </c>
      <c r="T44">
        <v>-92.8566</v>
      </c>
      <c r="U44">
        <v>-80.899699999999996</v>
      </c>
      <c r="V44">
        <v>-39.629600000000003</v>
      </c>
    </row>
    <row r="45" spans="1:22" x14ac:dyDescent="0.35">
      <c r="A45" s="1" t="s">
        <v>52</v>
      </c>
      <c r="B45">
        <v>-66.400000000000006</v>
      </c>
      <c r="C45" t="s">
        <v>52</v>
      </c>
      <c r="D45">
        <v>-80.118399999999994</v>
      </c>
      <c r="E45">
        <v>-61.786799999999999</v>
      </c>
      <c r="F45">
        <v>-68.241600000000005</v>
      </c>
      <c r="G45">
        <v>-76.516199999999998</v>
      </c>
      <c r="H45">
        <v>-49.154600000000002</v>
      </c>
      <c r="I45">
        <v>-76.511200000000002</v>
      </c>
      <c r="J45">
        <v>-59.517000000000003</v>
      </c>
      <c r="K45">
        <v>-22.956299999999999</v>
      </c>
      <c r="M45" t="s">
        <v>81</v>
      </c>
      <c r="N45">
        <v>-78.599999999999994</v>
      </c>
      <c r="O45">
        <v>-103.97929999999999</v>
      </c>
      <c r="P45">
        <v>-82.567599999999999</v>
      </c>
      <c r="Q45">
        <v>-92.691699999999997</v>
      </c>
      <c r="R45">
        <v>-85.033900000000003</v>
      </c>
      <c r="S45">
        <v>-63.229399999999998</v>
      </c>
      <c r="T45">
        <v>-97.599599999999995</v>
      </c>
      <c r="U45">
        <v>-80.371600000000001</v>
      </c>
      <c r="V45">
        <v>-32.5595</v>
      </c>
    </row>
    <row r="46" spans="1:22" x14ac:dyDescent="0.35">
      <c r="A46" s="1" t="s">
        <v>53</v>
      </c>
      <c r="B46">
        <v>-48.1</v>
      </c>
      <c r="C46" t="s">
        <v>53</v>
      </c>
      <c r="D46">
        <v>-92.389700000000005</v>
      </c>
      <c r="E46">
        <v>-75.110200000000006</v>
      </c>
      <c r="F46">
        <v>-83.504099999999994</v>
      </c>
      <c r="G46">
        <v>-86.132300000000001</v>
      </c>
      <c r="H46">
        <v>-61.091999999999999</v>
      </c>
      <c r="I46">
        <v>-79.5321</v>
      </c>
      <c r="J46">
        <v>-69.882599999999996</v>
      </c>
      <c r="K46">
        <v>-33.1997</v>
      </c>
      <c r="M46" t="s">
        <v>82</v>
      </c>
      <c r="N46">
        <v>-77.3</v>
      </c>
      <c r="O46">
        <v>-104.65989999999999</v>
      </c>
      <c r="P46">
        <v>-83.336399999999998</v>
      </c>
      <c r="Q46">
        <v>-93.4465</v>
      </c>
      <c r="R46">
        <v>-89.747399999999999</v>
      </c>
      <c r="S46">
        <v>-63.876199999999997</v>
      </c>
      <c r="T46">
        <v>-94.245099999999994</v>
      </c>
      <c r="U46">
        <v>-82.156800000000004</v>
      </c>
      <c r="V46">
        <v>-34.770099999999999</v>
      </c>
    </row>
    <row r="47" spans="1:22" x14ac:dyDescent="0.35">
      <c r="A47" s="1" t="s">
        <v>54</v>
      </c>
      <c r="B47">
        <v>-53.7</v>
      </c>
      <c r="C47" t="s">
        <v>54</v>
      </c>
      <c r="D47">
        <v>-88.431200000000004</v>
      </c>
      <c r="E47">
        <v>-72.007099999999994</v>
      </c>
      <c r="F47">
        <v>-80.150800000000004</v>
      </c>
      <c r="G47">
        <v>-83.552199999999999</v>
      </c>
      <c r="H47">
        <v>-59.395200000000003</v>
      </c>
      <c r="I47">
        <v>-76.033500000000004</v>
      </c>
      <c r="J47">
        <v>-67.291300000000007</v>
      </c>
      <c r="K47">
        <v>-31.233000000000001</v>
      </c>
      <c r="M47" t="s">
        <v>83</v>
      </c>
      <c r="N47">
        <v>-79.400000000000006</v>
      </c>
      <c r="O47">
        <v>-103.52630000000001</v>
      </c>
      <c r="P47">
        <v>-82.363500000000002</v>
      </c>
      <c r="Q47">
        <v>-92.3279</v>
      </c>
      <c r="R47">
        <v>-92.711399999999998</v>
      </c>
      <c r="S47">
        <v>-63.2851</v>
      </c>
      <c r="T47">
        <v>-94.857500000000002</v>
      </c>
      <c r="U47">
        <v>-80.668700000000001</v>
      </c>
      <c r="V47">
        <v>-33.563400000000001</v>
      </c>
    </row>
    <row r="48" spans="1:22" x14ac:dyDescent="0.35">
      <c r="A48" s="1" t="s">
        <v>55</v>
      </c>
      <c r="B48">
        <v>-53.5</v>
      </c>
      <c r="C48" t="s">
        <v>55</v>
      </c>
      <c r="D48">
        <v>-89.993099999999998</v>
      </c>
      <c r="E48">
        <v>-72.920599999999993</v>
      </c>
      <c r="F48">
        <v>-81.202699999999993</v>
      </c>
      <c r="G48">
        <v>-84.293199999999999</v>
      </c>
      <c r="H48">
        <v>-58.897199999999998</v>
      </c>
      <c r="I48">
        <v>-79.165800000000004</v>
      </c>
      <c r="J48">
        <v>-68.802199999999999</v>
      </c>
      <c r="K48">
        <v>-32.888199999999998</v>
      </c>
      <c r="M48" t="s">
        <v>84</v>
      </c>
      <c r="N48">
        <v>-52.3</v>
      </c>
      <c r="O48">
        <v>-77.866500000000002</v>
      </c>
      <c r="P48">
        <v>-63.289299999999997</v>
      </c>
      <c r="Q48">
        <v>-71.354500000000002</v>
      </c>
      <c r="R48">
        <v>-91.240200000000002</v>
      </c>
      <c r="S48">
        <v>-47.915300000000002</v>
      </c>
      <c r="T48">
        <v>-73.768699999999995</v>
      </c>
      <c r="U48">
        <v>-62.095999999999997</v>
      </c>
      <c r="V48">
        <v>-31.858799999999999</v>
      </c>
    </row>
    <row r="49" spans="1:22" x14ac:dyDescent="0.35">
      <c r="A49" s="1" t="s">
        <v>56</v>
      </c>
      <c r="B49">
        <v>-69</v>
      </c>
      <c r="C49" t="s">
        <v>56</v>
      </c>
      <c r="D49">
        <v>-93.514600000000002</v>
      </c>
      <c r="E49">
        <v>-72.745599999999996</v>
      </c>
      <c r="F49">
        <v>-80.654600000000002</v>
      </c>
      <c r="G49">
        <v>-87.235799999999998</v>
      </c>
      <c r="H49">
        <v>-57.641800000000003</v>
      </c>
      <c r="I49">
        <v>-87.773700000000005</v>
      </c>
      <c r="J49">
        <v>-67.715500000000006</v>
      </c>
      <c r="K49">
        <v>-28.7621</v>
      </c>
      <c r="M49" t="s">
        <v>85</v>
      </c>
      <c r="N49">
        <v>-50.1</v>
      </c>
      <c r="O49">
        <v>-79.229299999999995</v>
      </c>
      <c r="P49">
        <v>-64.572400000000002</v>
      </c>
      <c r="Q49">
        <v>-72.748800000000003</v>
      </c>
      <c r="R49">
        <v>-89.2363</v>
      </c>
      <c r="S49">
        <v>-48.890999999999998</v>
      </c>
      <c r="T49">
        <v>-69.839100000000002</v>
      </c>
      <c r="U49">
        <v>-64.071100000000001</v>
      </c>
      <c r="V49">
        <v>-33.063000000000002</v>
      </c>
    </row>
    <row r="50" spans="1:22" x14ac:dyDescent="0.35">
      <c r="A50" s="1" t="s">
        <v>57</v>
      </c>
      <c r="B50">
        <v>-66.8</v>
      </c>
      <c r="C50" t="s">
        <v>57</v>
      </c>
      <c r="D50">
        <v>-91.571399999999997</v>
      </c>
      <c r="E50">
        <v>-71.364400000000003</v>
      </c>
      <c r="F50">
        <v>-79.089500000000001</v>
      </c>
      <c r="G50">
        <v>-86.639499999999998</v>
      </c>
      <c r="H50">
        <v>-56.768099999999997</v>
      </c>
      <c r="I50">
        <v>-81.583100000000002</v>
      </c>
      <c r="J50">
        <v>-65.9499</v>
      </c>
      <c r="K50">
        <v>-26.422899999999998</v>
      </c>
      <c r="M50" t="s">
        <v>86</v>
      </c>
      <c r="N50">
        <v>-52.5</v>
      </c>
      <c r="O50">
        <v>-78.694900000000004</v>
      </c>
      <c r="P50">
        <v>-64.380200000000002</v>
      </c>
      <c r="Q50">
        <v>-72.462800000000001</v>
      </c>
      <c r="R50">
        <v>-91.003299999999996</v>
      </c>
      <c r="S50">
        <v>-49.180399999999999</v>
      </c>
      <c r="T50">
        <v>-72.256200000000007</v>
      </c>
      <c r="U50">
        <v>-63.717500000000001</v>
      </c>
      <c r="V50">
        <v>-39.993000000000002</v>
      </c>
    </row>
    <row r="51" spans="1:22" x14ac:dyDescent="0.35">
      <c r="A51" s="1" t="s">
        <v>58</v>
      </c>
      <c r="B51">
        <v>-67.099999999999994</v>
      </c>
      <c r="C51" t="s">
        <v>58</v>
      </c>
      <c r="D51">
        <v>-93.614800000000002</v>
      </c>
      <c r="E51">
        <v>-73.082899999999995</v>
      </c>
      <c r="F51">
        <v>-81.017799999999994</v>
      </c>
      <c r="G51">
        <v>-88.673900000000003</v>
      </c>
      <c r="H51">
        <v>-58.056100000000001</v>
      </c>
      <c r="I51">
        <v>-84.271000000000001</v>
      </c>
      <c r="J51">
        <v>-67.872299999999996</v>
      </c>
      <c r="K51">
        <v>-28.990500000000001</v>
      </c>
      <c r="M51" t="s">
        <v>87</v>
      </c>
      <c r="N51">
        <v>-49.6</v>
      </c>
      <c r="O51">
        <v>-78.5077</v>
      </c>
      <c r="P51">
        <v>-64.073899999999995</v>
      </c>
      <c r="Q51">
        <v>-72.255099999999999</v>
      </c>
      <c r="R51">
        <v>-91.858999999999995</v>
      </c>
      <c r="S51">
        <v>-48.962000000000003</v>
      </c>
      <c r="T51">
        <v>-69.556399999999996</v>
      </c>
      <c r="U51">
        <v>-64.613699999999994</v>
      </c>
      <c r="V51">
        <v>-39.235300000000002</v>
      </c>
    </row>
    <row r="52" spans="1:22" x14ac:dyDescent="0.35">
      <c r="A52" s="1" t="s">
        <v>59</v>
      </c>
      <c r="B52">
        <v>-66</v>
      </c>
      <c r="C52" t="s">
        <v>59</v>
      </c>
      <c r="D52">
        <v>-92.371499999999997</v>
      </c>
      <c r="E52">
        <v>-71.853399999999993</v>
      </c>
      <c r="F52">
        <v>-79.674400000000006</v>
      </c>
      <c r="G52">
        <v>-86.9435</v>
      </c>
      <c r="H52">
        <v>-56.819699999999997</v>
      </c>
      <c r="I52">
        <v>-83.779499999999999</v>
      </c>
      <c r="J52">
        <v>-66.775899999999993</v>
      </c>
      <c r="K52">
        <v>-28.7879</v>
      </c>
      <c r="M52" t="s">
        <v>88</v>
      </c>
      <c r="N52">
        <v>-88.5</v>
      </c>
      <c r="O52">
        <v>-110.87090000000001</v>
      </c>
      <c r="P52">
        <v>-87.546800000000005</v>
      </c>
      <c r="Q52">
        <v>-97.615899999999996</v>
      </c>
      <c r="R52">
        <v>-89.890900000000002</v>
      </c>
      <c r="S52">
        <v>-68.642799999999994</v>
      </c>
      <c r="T52">
        <v>-101.07689999999999</v>
      </c>
      <c r="U52">
        <v>-86.701300000000003</v>
      </c>
      <c r="V52">
        <v>-39.0075</v>
      </c>
    </row>
    <row r="53" spans="1:22" x14ac:dyDescent="0.35">
      <c r="A53" s="1" t="s">
        <v>60</v>
      </c>
      <c r="B53">
        <v>-72.3</v>
      </c>
      <c r="C53" t="s">
        <v>60</v>
      </c>
      <c r="D53">
        <v>-90.376000000000005</v>
      </c>
      <c r="E53">
        <v>-70.289100000000005</v>
      </c>
      <c r="F53">
        <v>-77.979500000000002</v>
      </c>
      <c r="G53">
        <v>-84.708100000000002</v>
      </c>
      <c r="H53">
        <v>-55.460099999999997</v>
      </c>
      <c r="I53">
        <v>-82.863399999999999</v>
      </c>
      <c r="J53">
        <v>-64.816000000000003</v>
      </c>
      <c r="K53">
        <v>-26.369900000000001</v>
      </c>
      <c r="M53" t="s">
        <v>89</v>
      </c>
      <c r="N53">
        <v>-89.3</v>
      </c>
      <c r="O53">
        <v>-110.41549999999999</v>
      </c>
      <c r="P53">
        <v>-87.103200000000001</v>
      </c>
      <c r="Q53">
        <v>-97.0976</v>
      </c>
      <c r="R53">
        <v>-90.451099999999997</v>
      </c>
      <c r="S53">
        <v>-68.049400000000006</v>
      </c>
      <c r="T53">
        <v>-102.14</v>
      </c>
      <c r="U53">
        <v>-85.760099999999994</v>
      </c>
      <c r="V53">
        <v>-39.269300000000001</v>
      </c>
    </row>
    <row r="54" spans="1:22" x14ac:dyDescent="0.35">
      <c r="A54" s="1" t="s">
        <v>61</v>
      </c>
      <c r="B54">
        <f>-74.2</f>
        <v>-74.2</v>
      </c>
      <c r="C54" t="s">
        <v>61</v>
      </c>
      <c r="D54">
        <v>-93.701499999999996</v>
      </c>
      <c r="E54">
        <v>-74.951800000000006</v>
      </c>
      <c r="F54">
        <v>-83.804400000000001</v>
      </c>
      <c r="G54">
        <v>-89.570599999999999</v>
      </c>
      <c r="H54">
        <v>-58.5792</v>
      </c>
      <c r="I54">
        <v>-84.204800000000006</v>
      </c>
      <c r="J54">
        <v>-70.719899999999996</v>
      </c>
      <c r="K54">
        <v>-36.497999999999998</v>
      </c>
      <c r="M54" t="s">
        <v>90</v>
      </c>
      <c r="N54">
        <v>-89.4</v>
      </c>
      <c r="O54">
        <v>-110.92359999999999</v>
      </c>
      <c r="P54">
        <v>-87.548299999999998</v>
      </c>
      <c r="Q54">
        <v>-97.596199999999996</v>
      </c>
      <c r="R54">
        <v>-91.032300000000006</v>
      </c>
      <c r="S54">
        <v>-68.748900000000006</v>
      </c>
      <c r="T54">
        <v>-105.4438</v>
      </c>
      <c r="U54">
        <v>-86.091899999999995</v>
      </c>
      <c r="V54">
        <v>-39.029000000000003</v>
      </c>
    </row>
    <row r="55" spans="1:22" x14ac:dyDescent="0.35">
      <c r="A55" s="1" t="s">
        <v>62</v>
      </c>
      <c r="B55">
        <v>-76.2</v>
      </c>
      <c r="C55" t="s">
        <v>62</v>
      </c>
      <c r="D55">
        <v>-88.563400000000001</v>
      </c>
      <c r="E55">
        <v>-70.193799999999996</v>
      </c>
      <c r="F55">
        <v>-78.534300000000002</v>
      </c>
      <c r="G55">
        <v>-84.465299999999999</v>
      </c>
      <c r="H55">
        <v>-54.8416</v>
      </c>
      <c r="I55">
        <v>-77.7684</v>
      </c>
      <c r="J55">
        <v>-65.912800000000004</v>
      </c>
      <c r="K55">
        <v>-31.876799999999999</v>
      </c>
      <c r="M55" t="s">
        <v>91</v>
      </c>
      <c r="N55">
        <v>-89.8</v>
      </c>
      <c r="O55">
        <v>-111.1662</v>
      </c>
      <c r="P55">
        <v>-87.952699999999993</v>
      </c>
      <c r="Q55">
        <v>-98.068299999999994</v>
      </c>
      <c r="R55">
        <v>-97.662400000000005</v>
      </c>
      <c r="S55">
        <v>-68.815600000000003</v>
      </c>
      <c r="T55">
        <v>-103.0314</v>
      </c>
      <c r="U55">
        <v>-85.544799999999995</v>
      </c>
      <c r="V55">
        <v>-40.724899999999998</v>
      </c>
    </row>
    <row r="56" spans="1:22" x14ac:dyDescent="0.35">
      <c r="A56" s="1" t="s">
        <v>63</v>
      </c>
      <c r="B56">
        <v>-77.2</v>
      </c>
      <c r="C56" t="s">
        <v>63</v>
      </c>
      <c r="D56">
        <v>-92.126599999999996</v>
      </c>
      <c r="E56">
        <v>-73.168099999999995</v>
      </c>
      <c r="F56">
        <v>-81.669799999999995</v>
      </c>
      <c r="G56">
        <v>-87.764499999999998</v>
      </c>
      <c r="H56">
        <v>-57.3538</v>
      </c>
      <c r="I56">
        <v>-85.684200000000004</v>
      </c>
      <c r="J56">
        <v>-69.019400000000005</v>
      </c>
      <c r="K56">
        <v>-34.567100000000003</v>
      </c>
      <c r="M56" t="s">
        <v>92</v>
      </c>
      <c r="N56">
        <v>-59.5</v>
      </c>
      <c r="O56">
        <v>-81.203599999999994</v>
      </c>
      <c r="P56">
        <v>-65.8947</v>
      </c>
      <c r="Q56">
        <v>-74.211799999999997</v>
      </c>
      <c r="R56">
        <v>-99.525000000000006</v>
      </c>
      <c r="S56">
        <v>-50.542900000000003</v>
      </c>
      <c r="T56">
        <v>-71.484200000000001</v>
      </c>
      <c r="U56">
        <v>-68.655500000000004</v>
      </c>
      <c r="V56">
        <v>-39.138599999999997</v>
      </c>
    </row>
    <row r="57" spans="1:22" x14ac:dyDescent="0.35">
      <c r="A57" s="1" t="s">
        <v>64</v>
      </c>
      <c r="B57">
        <v>-75.5</v>
      </c>
      <c r="C57" t="s">
        <v>64</v>
      </c>
      <c r="D57">
        <v>-94.2029</v>
      </c>
      <c r="E57">
        <v>-75.581000000000003</v>
      </c>
      <c r="F57">
        <v>-84.612099999999998</v>
      </c>
      <c r="G57">
        <v>-90.211799999999997</v>
      </c>
      <c r="H57">
        <v>-58.874099999999999</v>
      </c>
      <c r="I57">
        <v>-87.763599999999997</v>
      </c>
      <c r="J57">
        <v>-71.537400000000005</v>
      </c>
      <c r="K57">
        <v>-37.891800000000003</v>
      </c>
      <c r="M57" t="s">
        <v>93</v>
      </c>
      <c r="N57">
        <v>-66.5</v>
      </c>
      <c r="O57">
        <v>-80.3917</v>
      </c>
      <c r="P57">
        <v>-65.398700000000005</v>
      </c>
      <c r="Q57">
        <v>-73.694800000000001</v>
      </c>
      <c r="R57">
        <v>-98.872</v>
      </c>
      <c r="S57">
        <v>-49.725700000000003</v>
      </c>
      <c r="T57">
        <v>-70.082099999999997</v>
      </c>
      <c r="U57">
        <v>-67.642899999999997</v>
      </c>
      <c r="V57">
        <v>-40.5259</v>
      </c>
    </row>
    <row r="58" spans="1:22" x14ac:dyDescent="0.35">
      <c r="A58" s="1" t="s">
        <v>65</v>
      </c>
      <c r="B58">
        <v>-79.3</v>
      </c>
      <c r="C58" t="s">
        <v>65</v>
      </c>
      <c r="D58">
        <v>-94.850099999999998</v>
      </c>
      <c r="E58">
        <v>-74.802899999999994</v>
      </c>
      <c r="F58">
        <v>-83.751999999999995</v>
      </c>
      <c r="G58">
        <v>-90.163200000000003</v>
      </c>
      <c r="H58">
        <v>-58.996699999999997</v>
      </c>
      <c r="I58">
        <v>-94.407799999999995</v>
      </c>
      <c r="J58">
        <v>-68.049499999999995</v>
      </c>
      <c r="K58">
        <v>-29.0228</v>
      </c>
      <c r="M58" t="s">
        <v>94</v>
      </c>
      <c r="N58">
        <v>-58.9</v>
      </c>
      <c r="O58">
        <v>-80.733699999999999</v>
      </c>
      <c r="P58">
        <v>-65.488799999999998</v>
      </c>
      <c r="Q58">
        <v>-73.799000000000007</v>
      </c>
      <c r="R58">
        <v>-99.595100000000002</v>
      </c>
      <c r="S58">
        <v>-50.306699999999999</v>
      </c>
      <c r="T58">
        <v>-71.5946</v>
      </c>
      <c r="U58">
        <v>-67.954700000000003</v>
      </c>
      <c r="V58">
        <v>-39.877000000000002</v>
      </c>
    </row>
    <row r="59" spans="1:22" x14ac:dyDescent="0.35">
      <c r="A59" s="1" t="s">
        <v>66</v>
      </c>
      <c r="B59">
        <v>-76.8</v>
      </c>
      <c r="C59" t="s">
        <v>66</v>
      </c>
      <c r="D59">
        <v>-101.01730000000001</v>
      </c>
      <c r="E59">
        <v>-80.789400000000001</v>
      </c>
      <c r="F59">
        <v>-91.041399999999996</v>
      </c>
      <c r="G59">
        <v>-97.399199999999993</v>
      </c>
      <c r="H59">
        <v>-62.820999999999998</v>
      </c>
      <c r="I59">
        <v>-90.983900000000006</v>
      </c>
      <c r="J59">
        <v>-75.369900000000001</v>
      </c>
      <c r="K59">
        <v>-38.150500000000001</v>
      </c>
      <c r="M59" t="s">
        <v>95</v>
      </c>
      <c r="N59">
        <v>-64.400000000000006</v>
      </c>
      <c r="O59">
        <v>-79.060100000000006</v>
      </c>
      <c r="P59">
        <v>-63.9375</v>
      </c>
      <c r="Q59">
        <v>-72.085400000000007</v>
      </c>
      <c r="R59">
        <v>-100.5796</v>
      </c>
      <c r="S59">
        <v>-48.734699999999997</v>
      </c>
      <c r="T59">
        <v>-68.565600000000003</v>
      </c>
      <c r="U59">
        <v>-65.860799999999998</v>
      </c>
      <c r="V59">
        <v>-45.5152</v>
      </c>
    </row>
    <row r="60" spans="1:22" x14ac:dyDescent="0.35">
      <c r="A60" s="1" t="s">
        <v>67</v>
      </c>
      <c r="B60">
        <v>-73.900000000000006</v>
      </c>
      <c r="C60" t="s">
        <v>67</v>
      </c>
      <c r="D60">
        <v>-98.942800000000005</v>
      </c>
      <c r="E60">
        <v>-78.581500000000005</v>
      </c>
      <c r="F60">
        <v>-88.350099999999998</v>
      </c>
      <c r="G60">
        <v>-95.508799999999994</v>
      </c>
      <c r="H60">
        <v>-61.471299999999999</v>
      </c>
      <c r="I60">
        <v>-96.888900000000007</v>
      </c>
      <c r="J60">
        <v>-73.025099999999995</v>
      </c>
      <c r="K60">
        <v>-34.911200000000001</v>
      </c>
      <c r="M60" t="s">
        <v>96</v>
      </c>
      <c r="N60">
        <v>-71.900000000000006</v>
      </c>
      <c r="O60">
        <v>-101.0981</v>
      </c>
      <c r="P60">
        <v>-81.941599999999994</v>
      </c>
      <c r="Q60">
        <v>-91.966499999999996</v>
      </c>
      <c r="R60">
        <v>-104.65219999999999</v>
      </c>
      <c r="S60">
        <v>-64.288300000000007</v>
      </c>
      <c r="T60">
        <v>-90.278700000000001</v>
      </c>
      <c r="U60">
        <v>-84.037800000000004</v>
      </c>
      <c r="V60">
        <v>-47.010399999999997</v>
      </c>
    </row>
    <row r="61" spans="1:22" x14ac:dyDescent="0.35">
      <c r="A61" s="1" t="s">
        <v>68</v>
      </c>
      <c r="B61">
        <v>-74</v>
      </c>
      <c r="C61" t="s">
        <v>68</v>
      </c>
      <c r="D61">
        <v>-93.875699999999995</v>
      </c>
      <c r="E61">
        <v>-74.164599999999993</v>
      </c>
      <c r="F61">
        <v>-83.048699999999997</v>
      </c>
      <c r="G61">
        <v>-89.907399999999996</v>
      </c>
      <c r="H61">
        <v>-58.284500000000001</v>
      </c>
      <c r="I61">
        <v>-77.872100000000003</v>
      </c>
      <c r="J61">
        <v>-68.593900000000005</v>
      </c>
      <c r="K61">
        <v>-29.687799999999999</v>
      </c>
      <c r="M61" t="s">
        <v>97</v>
      </c>
      <c r="N61">
        <v>-76.5</v>
      </c>
      <c r="O61">
        <v>-101.4055</v>
      </c>
      <c r="P61">
        <v>-82.243700000000004</v>
      </c>
      <c r="Q61">
        <v>-92.197699999999998</v>
      </c>
      <c r="R61">
        <v>-105.67230000000001</v>
      </c>
      <c r="S61">
        <v>-64.828199999999995</v>
      </c>
      <c r="T61">
        <v>-95.997900000000001</v>
      </c>
      <c r="U61">
        <v>-83.762</v>
      </c>
      <c r="V61">
        <v>-45.082299999999996</v>
      </c>
    </row>
    <row r="62" spans="1:22" x14ac:dyDescent="0.35">
      <c r="A62" s="1" t="s">
        <v>69</v>
      </c>
      <c r="B62">
        <v>-76.599999999999994</v>
      </c>
      <c r="C62" t="s">
        <v>69</v>
      </c>
      <c r="D62">
        <v>-97.709199999999996</v>
      </c>
      <c r="E62">
        <v>-77.778099999999995</v>
      </c>
      <c r="F62">
        <v>-87.386499999999998</v>
      </c>
      <c r="G62">
        <v>-94.478899999999996</v>
      </c>
      <c r="H62">
        <v>-61.215600000000002</v>
      </c>
      <c r="I62">
        <v>-87.860500000000002</v>
      </c>
      <c r="J62">
        <v>-71.693299999999994</v>
      </c>
      <c r="K62">
        <v>-32.942399999999999</v>
      </c>
      <c r="M62" t="s">
        <v>98</v>
      </c>
      <c r="N62">
        <v>-70.7</v>
      </c>
      <c r="O62">
        <v>-100.55880000000001</v>
      </c>
      <c r="P62">
        <v>-81.281999999999996</v>
      </c>
      <c r="Q62">
        <v>-91.178600000000003</v>
      </c>
      <c r="R62">
        <v>-103.6707</v>
      </c>
      <c r="S62">
        <v>-64.102699999999999</v>
      </c>
      <c r="T62">
        <v>-93.614500000000007</v>
      </c>
      <c r="U62">
        <v>-82.499099999999999</v>
      </c>
      <c r="V62">
        <v>-45.546799999999998</v>
      </c>
    </row>
    <row r="63" spans="1:22" x14ac:dyDescent="0.35">
      <c r="A63" s="1" t="s">
        <v>70</v>
      </c>
      <c r="B63">
        <v>-82.9</v>
      </c>
      <c r="C63" t="s">
        <v>70</v>
      </c>
      <c r="D63">
        <v>-104.9862</v>
      </c>
      <c r="E63">
        <v>-84.081299999999999</v>
      </c>
      <c r="F63">
        <v>-94.511600000000001</v>
      </c>
      <c r="G63">
        <v>-100.8459</v>
      </c>
      <c r="H63">
        <v>-65.650599999999997</v>
      </c>
      <c r="I63">
        <v>-99.182400000000001</v>
      </c>
      <c r="J63">
        <v>-78.322400000000002</v>
      </c>
      <c r="K63">
        <v>-40.887099999999997</v>
      </c>
      <c r="M63" s="1" t="s">
        <v>33</v>
      </c>
      <c r="N63">
        <v>-77.400000000000006</v>
      </c>
      <c r="O63">
        <v>-99.050700000000006</v>
      </c>
      <c r="P63">
        <v>-78.385099999999994</v>
      </c>
      <c r="Q63">
        <v>-87.858800000000002</v>
      </c>
      <c r="R63">
        <v>-104.6048</v>
      </c>
      <c r="S63">
        <v>-60.7761</v>
      </c>
      <c r="T63">
        <v>-94.145200000000003</v>
      </c>
      <c r="U63">
        <v>-76.650300000000001</v>
      </c>
      <c r="V63">
        <v>-46.208199999999998</v>
      </c>
    </row>
    <row r="64" spans="1:22" x14ac:dyDescent="0.35">
      <c r="A64" s="1" t="s">
        <v>71</v>
      </c>
      <c r="B64">
        <v>-81</v>
      </c>
      <c r="C64" t="s">
        <v>71</v>
      </c>
      <c r="D64">
        <v>-103.6801</v>
      </c>
      <c r="E64">
        <v>-82.816999999999993</v>
      </c>
      <c r="F64">
        <v>-92.679699999999997</v>
      </c>
      <c r="G64">
        <v>-99.026499999999999</v>
      </c>
      <c r="H64">
        <v>-64.831800000000001</v>
      </c>
      <c r="I64">
        <v>-94.126400000000004</v>
      </c>
      <c r="J64">
        <v>-77.179599999999994</v>
      </c>
      <c r="K64">
        <v>-37.598300000000002</v>
      </c>
      <c r="M64" s="1" t="s">
        <v>34</v>
      </c>
      <c r="N64">
        <v>-72.8</v>
      </c>
      <c r="O64">
        <v>-98.387200000000007</v>
      </c>
      <c r="P64">
        <v>-77.811000000000007</v>
      </c>
      <c r="Q64">
        <v>-87.305999999999997</v>
      </c>
      <c r="R64">
        <v>-106.0474</v>
      </c>
      <c r="S64">
        <v>-60.287599999999998</v>
      </c>
      <c r="T64">
        <v>-89.997799999999998</v>
      </c>
      <c r="U64">
        <v>-76.801900000000003</v>
      </c>
      <c r="V64">
        <v>-41.697800000000001</v>
      </c>
    </row>
    <row r="65" spans="1:22" x14ac:dyDescent="0.35">
      <c r="A65" s="1" t="s">
        <v>72</v>
      </c>
      <c r="B65">
        <v>-81.099999999999994</v>
      </c>
      <c r="C65" t="s">
        <v>72</v>
      </c>
      <c r="D65">
        <v>-101.0444</v>
      </c>
      <c r="E65">
        <v>-80.142700000000005</v>
      </c>
      <c r="F65">
        <v>-89.9255</v>
      </c>
      <c r="G65">
        <v>-95.99</v>
      </c>
      <c r="H65">
        <v>-62</v>
      </c>
      <c r="I65">
        <v>-92.230900000000005</v>
      </c>
      <c r="J65">
        <v>-74.183000000000007</v>
      </c>
      <c r="K65">
        <v>-36.2288</v>
      </c>
      <c r="M65" s="1" t="s">
        <v>35</v>
      </c>
      <c r="N65">
        <v>-72.3</v>
      </c>
      <c r="O65">
        <v>-99.166499999999999</v>
      </c>
      <c r="P65">
        <v>-78.499600000000001</v>
      </c>
      <c r="Q65">
        <v>-88.128100000000003</v>
      </c>
      <c r="R65">
        <v>-92.940600000000003</v>
      </c>
      <c r="S65">
        <v>-61.290999999999997</v>
      </c>
      <c r="T65">
        <v>-90.994699999999995</v>
      </c>
      <c r="U65">
        <v>-78.058199999999999</v>
      </c>
      <c r="V65">
        <v>-41.631500000000003</v>
      </c>
    </row>
    <row r="66" spans="1:22" x14ac:dyDescent="0.35">
      <c r="A66" s="1" t="s">
        <v>73</v>
      </c>
      <c r="B66">
        <v>-78.2</v>
      </c>
      <c r="C66" t="s">
        <v>73</v>
      </c>
      <c r="D66">
        <v>-104.4978</v>
      </c>
      <c r="E66">
        <v>-82.727000000000004</v>
      </c>
      <c r="F66">
        <v>-92.467600000000004</v>
      </c>
      <c r="G66">
        <v>-98.607200000000006</v>
      </c>
      <c r="H66">
        <v>-64.866100000000003</v>
      </c>
      <c r="I66">
        <v>-100.5654</v>
      </c>
      <c r="J66">
        <v>-77.044200000000004</v>
      </c>
      <c r="K66">
        <v>-35.776699999999998</v>
      </c>
      <c r="M66" s="1" t="s">
        <v>37</v>
      </c>
      <c r="N66">
        <v>-58.1</v>
      </c>
      <c r="O66">
        <v>-84.392300000000006</v>
      </c>
      <c r="P66">
        <v>-66.806399999999996</v>
      </c>
      <c r="Q66">
        <v>-74.795000000000002</v>
      </c>
      <c r="R66">
        <v>-92.520700000000005</v>
      </c>
      <c r="S66">
        <v>-52.12</v>
      </c>
      <c r="T66">
        <v>-78.298900000000003</v>
      </c>
      <c r="U66">
        <v>-69.7072</v>
      </c>
      <c r="V66">
        <v>-41.540900000000001</v>
      </c>
    </row>
    <row r="67" spans="1:22" x14ac:dyDescent="0.35">
      <c r="A67" s="1" t="s">
        <v>74</v>
      </c>
      <c r="B67">
        <v>-78.7</v>
      </c>
      <c r="C67" t="s">
        <v>74</v>
      </c>
      <c r="D67">
        <v>-108.3454</v>
      </c>
      <c r="E67">
        <v>-86.721800000000002</v>
      </c>
      <c r="F67">
        <v>-97.2624</v>
      </c>
      <c r="G67">
        <v>-103.5887</v>
      </c>
      <c r="H67">
        <v>-67.415099999999995</v>
      </c>
      <c r="I67">
        <v>-96.382499999999993</v>
      </c>
      <c r="J67">
        <v>-81.441699999999997</v>
      </c>
      <c r="K67">
        <v>-41.0304</v>
      </c>
      <c r="M67" s="1" t="s">
        <v>39</v>
      </c>
      <c r="N67">
        <v>-63</v>
      </c>
      <c r="O67">
        <v>-84.555499999999995</v>
      </c>
      <c r="P67">
        <v>-67.196200000000005</v>
      </c>
      <c r="Q67">
        <v>-75.224199999999996</v>
      </c>
      <c r="R67">
        <v>-93.105400000000003</v>
      </c>
      <c r="S67">
        <v>-52.3247</v>
      </c>
      <c r="T67">
        <v>-75.179500000000004</v>
      </c>
      <c r="U67">
        <v>-70.187700000000007</v>
      </c>
      <c r="V67">
        <v>-40.643500000000003</v>
      </c>
    </row>
    <row r="68" spans="1:22" x14ac:dyDescent="0.35">
      <c r="A68" s="1" t="s">
        <v>75</v>
      </c>
      <c r="B68">
        <v>-74.5</v>
      </c>
      <c r="C68" t="s">
        <v>75</v>
      </c>
      <c r="D68">
        <v>-92.417699999999996</v>
      </c>
      <c r="E68">
        <v>-74.229200000000006</v>
      </c>
      <c r="F68">
        <v>-82.849199999999996</v>
      </c>
      <c r="G68">
        <v>-87.311300000000003</v>
      </c>
      <c r="H68">
        <v>-58.9236</v>
      </c>
      <c r="I68">
        <v>-85.458399999999997</v>
      </c>
      <c r="J68">
        <v>-68.682000000000002</v>
      </c>
      <c r="K68">
        <v>-32.746499999999997</v>
      </c>
      <c r="M68" s="1" t="s">
        <v>40</v>
      </c>
      <c r="N68">
        <v>-59.1</v>
      </c>
      <c r="O68">
        <v>-84.224900000000005</v>
      </c>
      <c r="P68">
        <v>-66.737399999999994</v>
      </c>
      <c r="Q68">
        <v>-74.897400000000005</v>
      </c>
      <c r="R68">
        <v>-92.011200000000002</v>
      </c>
      <c r="S68">
        <v>-52.075899999999997</v>
      </c>
      <c r="T68">
        <v>-77.592799999999997</v>
      </c>
      <c r="U68">
        <v>-69.335999999999999</v>
      </c>
      <c r="V68">
        <v>-40.593200000000003</v>
      </c>
    </row>
    <row r="69" spans="1:22" x14ac:dyDescent="0.35">
      <c r="A69" s="1" t="s">
        <v>76</v>
      </c>
      <c r="B69">
        <v>-74.099999999999994</v>
      </c>
      <c r="C69" t="s">
        <v>76</v>
      </c>
      <c r="D69">
        <v>-91.575800000000001</v>
      </c>
      <c r="E69">
        <v>-73.495400000000004</v>
      </c>
      <c r="F69">
        <v>-82.197400000000002</v>
      </c>
      <c r="G69">
        <v>-85.854799999999997</v>
      </c>
      <c r="H69">
        <v>-58.1464</v>
      </c>
      <c r="I69">
        <v>-81.010000000000005</v>
      </c>
      <c r="J69">
        <v>-68.181200000000004</v>
      </c>
      <c r="K69">
        <v>-32.541899999999998</v>
      </c>
      <c r="M69" s="1" t="s">
        <v>41</v>
      </c>
      <c r="N69">
        <v>-58.9</v>
      </c>
      <c r="O69">
        <v>-83.6678</v>
      </c>
      <c r="P69">
        <v>-65.939400000000006</v>
      </c>
      <c r="Q69">
        <v>-73.911100000000005</v>
      </c>
      <c r="R69">
        <v>-98.130600000000001</v>
      </c>
      <c r="S69">
        <v>-51.138100000000001</v>
      </c>
      <c r="T69">
        <v>-78.208299999999994</v>
      </c>
      <c r="U69">
        <v>-68.877899999999997</v>
      </c>
      <c r="V69">
        <v>-40.632800000000003</v>
      </c>
    </row>
    <row r="70" spans="1:22" x14ac:dyDescent="0.35">
      <c r="A70" s="1" t="s">
        <v>77</v>
      </c>
      <c r="B70">
        <v>-74.7</v>
      </c>
      <c r="C70" t="s">
        <v>77</v>
      </c>
      <c r="D70">
        <v>-92.306700000000006</v>
      </c>
      <c r="E70">
        <v>-74.088999999999999</v>
      </c>
      <c r="F70">
        <v>-83.323700000000002</v>
      </c>
      <c r="G70">
        <v>-87.038300000000007</v>
      </c>
      <c r="H70">
        <v>-58.187399999999997</v>
      </c>
      <c r="I70">
        <v>-87.588399999999993</v>
      </c>
      <c r="J70">
        <v>-68.528599999999997</v>
      </c>
      <c r="K70">
        <v>-33.732999999999997</v>
      </c>
      <c r="M70" s="1" t="s">
        <v>42</v>
      </c>
      <c r="N70">
        <v>-72.3</v>
      </c>
      <c r="O70">
        <v>-106.1927</v>
      </c>
      <c r="P70">
        <v>-85.327399999999997</v>
      </c>
      <c r="Q70">
        <v>-95.747100000000003</v>
      </c>
      <c r="R70">
        <v>-98.034400000000005</v>
      </c>
      <c r="S70">
        <v>-66.525800000000004</v>
      </c>
      <c r="T70">
        <v>-98.331100000000006</v>
      </c>
      <c r="U70">
        <v>-84.575400000000002</v>
      </c>
      <c r="V70">
        <v>-39.6008</v>
      </c>
    </row>
    <row r="71" spans="1:22" x14ac:dyDescent="0.35">
      <c r="A71" s="1" t="s">
        <v>78</v>
      </c>
      <c r="B71">
        <v>-75</v>
      </c>
      <c r="C71" t="s">
        <v>78</v>
      </c>
      <c r="D71">
        <v>-89.531599999999997</v>
      </c>
      <c r="E71">
        <v>-71.489400000000003</v>
      </c>
      <c r="F71">
        <v>-80.054100000000005</v>
      </c>
      <c r="G71">
        <v>-84.29</v>
      </c>
      <c r="H71">
        <v>-56.467300000000002</v>
      </c>
      <c r="I71">
        <v>-78.377499999999998</v>
      </c>
      <c r="J71">
        <v>-66.124799999999993</v>
      </c>
      <c r="K71">
        <v>-30.371300000000002</v>
      </c>
      <c r="M71" s="1" t="s">
        <v>43</v>
      </c>
      <c r="N71">
        <v>-74</v>
      </c>
      <c r="O71">
        <v>-105.97190000000001</v>
      </c>
      <c r="P71">
        <v>-85.191100000000006</v>
      </c>
      <c r="Q71">
        <v>-95.559299999999993</v>
      </c>
      <c r="R71">
        <v>-98.0779</v>
      </c>
      <c r="S71">
        <v>-66.793199999999999</v>
      </c>
      <c r="T71">
        <v>-98.417199999999994</v>
      </c>
      <c r="U71">
        <v>-84.394499999999994</v>
      </c>
      <c r="V71">
        <v>-41.491399999999999</v>
      </c>
    </row>
    <row r="72" spans="1:22" x14ac:dyDescent="0.35">
      <c r="A72" s="1" t="s">
        <v>79</v>
      </c>
      <c r="B72">
        <v>-77.2</v>
      </c>
      <c r="C72" t="s">
        <v>79</v>
      </c>
      <c r="D72">
        <v>-98.695700000000002</v>
      </c>
      <c r="E72">
        <v>-77.773799999999994</v>
      </c>
      <c r="F72">
        <v>-86.960499999999996</v>
      </c>
      <c r="G72">
        <v>-93.114500000000007</v>
      </c>
      <c r="H72">
        <v>-60.308199999999999</v>
      </c>
      <c r="I72">
        <v>-94.772400000000005</v>
      </c>
      <c r="J72">
        <v>-71.927899999999994</v>
      </c>
      <c r="K72">
        <v>-34.093299999999999</v>
      </c>
      <c r="M72" s="1" t="s">
        <v>44</v>
      </c>
      <c r="N72">
        <v>-75.2</v>
      </c>
      <c r="O72">
        <v>-106.03660000000001</v>
      </c>
      <c r="P72">
        <v>-85.185900000000004</v>
      </c>
      <c r="Q72">
        <v>-95.545000000000002</v>
      </c>
      <c r="R72">
        <v>-99.307599999999994</v>
      </c>
      <c r="S72">
        <v>-66.714799999999997</v>
      </c>
      <c r="T72">
        <v>-96.848600000000005</v>
      </c>
      <c r="U72">
        <v>-84.181799999999996</v>
      </c>
      <c r="V72">
        <v>-40.462899999999998</v>
      </c>
    </row>
    <row r="73" spans="1:22" x14ac:dyDescent="0.35">
      <c r="A73" s="1" t="s">
        <v>80</v>
      </c>
      <c r="B73">
        <v>-75.8</v>
      </c>
      <c r="C73" t="s">
        <v>80</v>
      </c>
      <c r="D73">
        <v>-99.996099999999998</v>
      </c>
      <c r="E73">
        <v>-79.026200000000003</v>
      </c>
      <c r="F73">
        <v>-88.382800000000003</v>
      </c>
      <c r="G73">
        <v>-96.000699999999995</v>
      </c>
      <c r="H73">
        <v>-61.8996</v>
      </c>
      <c r="I73">
        <v>-90.36</v>
      </c>
      <c r="J73">
        <v>-73.4268</v>
      </c>
      <c r="K73">
        <v>-34.781799999999997</v>
      </c>
      <c r="M73" s="1" t="s">
        <v>45</v>
      </c>
      <c r="N73">
        <v>-76.900000000000006</v>
      </c>
      <c r="O73">
        <v>-104.642</v>
      </c>
      <c r="P73">
        <v>-83.952299999999994</v>
      </c>
      <c r="Q73">
        <v>-94.2346</v>
      </c>
      <c r="R73">
        <v>-98.554199999999994</v>
      </c>
      <c r="S73">
        <v>-65.227900000000005</v>
      </c>
      <c r="T73">
        <v>-93.399299999999997</v>
      </c>
      <c r="U73">
        <v>-82.215800000000002</v>
      </c>
      <c r="V73">
        <v>-34.891300000000001</v>
      </c>
    </row>
    <row r="74" spans="1:22" x14ac:dyDescent="0.35">
      <c r="A74" s="1" t="s">
        <v>81</v>
      </c>
      <c r="B74">
        <v>-78.599999999999994</v>
      </c>
      <c r="C74" t="s">
        <v>81</v>
      </c>
      <c r="D74">
        <v>-97.443399999999997</v>
      </c>
      <c r="E74">
        <v>-76.675899999999999</v>
      </c>
      <c r="F74">
        <v>-85.619699999999995</v>
      </c>
      <c r="G74">
        <v>-91.6023</v>
      </c>
      <c r="H74">
        <v>-59.848500000000001</v>
      </c>
      <c r="I74">
        <v>-92.799700000000001</v>
      </c>
      <c r="J74">
        <v>-70.249499999999998</v>
      </c>
      <c r="K74">
        <v>-31.421399999999998</v>
      </c>
      <c r="M74" s="1" t="s">
        <v>46</v>
      </c>
      <c r="N74">
        <v>-69.400000000000006</v>
      </c>
      <c r="O74">
        <v>-105.64060000000001</v>
      </c>
      <c r="P74">
        <v>-84.825699999999998</v>
      </c>
      <c r="Q74">
        <v>-95.206800000000001</v>
      </c>
      <c r="R74">
        <v>-72.304699999999997</v>
      </c>
      <c r="S74">
        <v>-66.361199999999997</v>
      </c>
      <c r="T74">
        <v>-98.885900000000007</v>
      </c>
      <c r="U74">
        <v>-83.297799999999995</v>
      </c>
      <c r="V74">
        <v>-36.336199999999998</v>
      </c>
    </row>
    <row r="75" spans="1:22" x14ac:dyDescent="0.35">
      <c r="A75" s="1" t="s">
        <v>82</v>
      </c>
      <c r="B75">
        <v>-77.3</v>
      </c>
      <c r="C75" t="s">
        <v>82</v>
      </c>
      <c r="D75">
        <v>-99.247</v>
      </c>
      <c r="E75">
        <v>-78.34</v>
      </c>
      <c r="F75">
        <v>-87.484499999999997</v>
      </c>
      <c r="G75">
        <v>-94.009100000000004</v>
      </c>
      <c r="H75">
        <v>-61.696100000000001</v>
      </c>
      <c r="I75">
        <v>-88.089299999999994</v>
      </c>
      <c r="J75">
        <v>-72.549899999999994</v>
      </c>
      <c r="K75">
        <v>-33.535499999999999</v>
      </c>
      <c r="M75" s="1" t="s">
        <v>47</v>
      </c>
      <c r="N75">
        <v>-72.400000000000006</v>
      </c>
      <c r="O75">
        <v>-105.2539</v>
      </c>
      <c r="P75">
        <v>-84.548299999999998</v>
      </c>
      <c r="Q75">
        <v>-95.155100000000004</v>
      </c>
      <c r="R75">
        <v>-74.303399999999996</v>
      </c>
      <c r="S75">
        <v>-65.936899999999994</v>
      </c>
      <c r="T75">
        <v>-100.3202</v>
      </c>
      <c r="U75">
        <v>-83.278400000000005</v>
      </c>
      <c r="V75">
        <v>-36.900399999999998</v>
      </c>
    </row>
    <row r="76" spans="1:22" x14ac:dyDescent="0.35">
      <c r="A76" s="1" t="s">
        <v>83</v>
      </c>
      <c r="B76">
        <v>-79.400000000000006</v>
      </c>
      <c r="C76" t="s">
        <v>83</v>
      </c>
      <c r="D76">
        <v>-97.7898</v>
      </c>
      <c r="E76">
        <v>-77.082999999999998</v>
      </c>
      <c r="F76">
        <v>-86.067499999999995</v>
      </c>
      <c r="G76">
        <v>-93.135900000000007</v>
      </c>
      <c r="H76">
        <v>-60.160600000000002</v>
      </c>
      <c r="I76">
        <v>-90.259500000000003</v>
      </c>
      <c r="J76">
        <v>-70.5458</v>
      </c>
      <c r="K76">
        <v>-32.3095</v>
      </c>
      <c r="M76" s="1" t="s">
        <v>49</v>
      </c>
      <c r="N76">
        <v>-61.8</v>
      </c>
      <c r="O76">
        <v>-88.833299999999994</v>
      </c>
      <c r="P76">
        <v>-69.004400000000004</v>
      </c>
      <c r="Q76">
        <v>-76.758200000000002</v>
      </c>
      <c r="R76">
        <v>-75.345600000000005</v>
      </c>
      <c r="S76">
        <v>-53.250700000000002</v>
      </c>
      <c r="T76">
        <v>-77.658000000000001</v>
      </c>
      <c r="U76">
        <v>-74.199700000000007</v>
      </c>
      <c r="V76">
        <v>-37.137700000000002</v>
      </c>
    </row>
    <row r="77" spans="1:22" x14ac:dyDescent="0.35">
      <c r="A77" s="1" t="s">
        <v>84</v>
      </c>
      <c r="B77">
        <v>-52.3</v>
      </c>
      <c r="C77" t="s">
        <v>84</v>
      </c>
      <c r="D77">
        <v>-72.343900000000005</v>
      </c>
      <c r="E77">
        <v>-58.269599999999997</v>
      </c>
      <c r="F77">
        <v>-65.145499999999998</v>
      </c>
      <c r="G77">
        <v>-66.037899999999993</v>
      </c>
      <c r="H77">
        <v>-45.206099999999999</v>
      </c>
      <c r="I77">
        <v>-66.923699999999997</v>
      </c>
      <c r="J77">
        <v>-54.040599999999998</v>
      </c>
      <c r="K77">
        <v>-25.3476</v>
      </c>
      <c r="M77" s="1" t="s">
        <v>50</v>
      </c>
      <c r="N77">
        <v>-67.2</v>
      </c>
      <c r="O77">
        <v>-87.350700000000003</v>
      </c>
      <c r="P77">
        <v>-67.860799999999998</v>
      </c>
      <c r="Q77">
        <v>-75.453900000000004</v>
      </c>
      <c r="R77">
        <v>-74.573400000000007</v>
      </c>
      <c r="S77">
        <v>-52.7363</v>
      </c>
      <c r="T77">
        <v>-78.721999999999994</v>
      </c>
      <c r="U77">
        <v>-72.644400000000005</v>
      </c>
      <c r="V77">
        <v>-40.538699999999999</v>
      </c>
    </row>
    <row r="78" spans="1:22" x14ac:dyDescent="0.35">
      <c r="A78" s="1" t="s">
        <v>85</v>
      </c>
      <c r="B78">
        <v>-50.1</v>
      </c>
      <c r="C78" t="s">
        <v>85</v>
      </c>
      <c r="D78">
        <v>-75.593100000000007</v>
      </c>
      <c r="E78">
        <v>-60.926600000000001</v>
      </c>
      <c r="F78">
        <v>-67.881900000000002</v>
      </c>
      <c r="G78">
        <v>-68.483400000000003</v>
      </c>
      <c r="H78">
        <v>-47.109200000000001</v>
      </c>
      <c r="I78">
        <v>-64.764600000000002</v>
      </c>
      <c r="J78">
        <v>-56.582900000000002</v>
      </c>
      <c r="K78">
        <v>-25.775600000000001</v>
      </c>
      <c r="M78" s="1" t="s">
        <v>51</v>
      </c>
      <c r="N78">
        <v>-65.400000000000006</v>
      </c>
      <c r="O78">
        <v>-87.173900000000003</v>
      </c>
      <c r="P78">
        <v>-67.756</v>
      </c>
      <c r="Q78">
        <v>-75.431899999999999</v>
      </c>
      <c r="R78">
        <v>-106.551</v>
      </c>
      <c r="S78">
        <v>-52.740299999999998</v>
      </c>
      <c r="T78">
        <v>-79.023099999999999</v>
      </c>
      <c r="U78">
        <v>-72.229299999999995</v>
      </c>
      <c r="V78">
        <v>-39.6721</v>
      </c>
    </row>
    <row r="79" spans="1:22" x14ac:dyDescent="0.35">
      <c r="A79" s="1" t="s">
        <v>86</v>
      </c>
      <c r="B79">
        <v>-52.5</v>
      </c>
      <c r="C79" t="s">
        <v>86</v>
      </c>
      <c r="D79">
        <v>-71.189700000000002</v>
      </c>
      <c r="E79">
        <v>-57.286299999999997</v>
      </c>
      <c r="F79">
        <v>-63.851500000000001</v>
      </c>
      <c r="G79">
        <v>-65.367699999999999</v>
      </c>
      <c r="H79">
        <v>-44.058700000000002</v>
      </c>
      <c r="I79">
        <v>-59.4664</v>
      </c>
      <c r="J79">
        <v>-53.657800000000002</v>
      </c>
      <c r="K79">
        <v>-24.843699999999998</v>
      </c>
      <c r="M79" s="1" t="s">
        <v>52</v>
      </c>
      <c r="N79">
        <v>-66.400000000000006</v>
      </c>
      <c r="O79">
        <v>-87.897800000000004</v>
      </c>
      <c r="P79">
        <v>-68.306399999999996</v>
      </c>
      <c r="Q79">
        <v>-76.069199999999995</v>
      </c>
      <c r="R79">
        <v>-105.4427</v>
      </c>
      <c r="S79">
        <v>-53.285600000000002</v>
      </c>
      <c r="T79">
        <v>-83.057599999999994</v>
      </c>
      <c r="U79">
        <v>-73.095399999999998</v>
      </c>
      <c r="V79">
        <v>-40.110700000000001</v>
      </c>
    </row>
    <row r="80" spans="1:22" x14ac:dyDescent="0.35">
      <c r="A80" s="1" t="s">
        <v>87</v>
      </c>
      <c r="B80">
        <v>-49.6</v>
      </c>
      <c r="C80" t="s">
        <v>87</v>
      </c>
      <c r="D80">
        <v>-73.538600000000002</v>
      </c>
      <c r="E80">
        <v>-59.442500000000003</v>
      </c>
      <c r="F80">
        <v>-66.596100000000007</v>
      </c>
      <c r="G80">
        <v>-68.844300000000004</v>
      </c>
      <c r="H80">
        <v>-45.738599999999998</v>
      </c>
      <c r="I80">
        <v>-64.578299999999999</v>
      </c>
      <c r="J80">
        <v>-56.548400000000001</v>
      </c>
      <c r="K80">
        <v>-28.271799999999999</v>
      </c>
      <c r="M80" s="1" t="s">
        <v>53</v>
      </c>
      <c r="N80">
        <v>-48.1</v>
      </c>
      <c r="O80">
        <v>-86.4756</v>
      </c>
      <c r="P80">
        <v>-69.568600000000004</v>
      </c>
      <c r="Q80">
        <v>-78.344300000000004</v>
      </c>
      <c r="R80">
        <v>-106.1474</v>
      </c>
      <c r="S80">
        <v>-54.134</v>
      </c>
      <c r="T80">
        <v>-78.712500000000006</v>
      </c>
      <c r="U80">
        <v>-70.8369</v>
      </c>
      <c r="V80">
        <v>-40.241100000000003</v>
      </c>
    </row>
    <row r="81" spans="1:22" x14ac:dyDescent="0.35">
      <c r="A81" s="1" t="s">
        <v>88</v>
      </c>
      <c r="B81">
        <v>-88.5</v>
      </c>
      <c r="C81" t="s">
        <v>88</v>
      </c>
      <c r="D81">
        <v>-107.24979999999999</v>
      </c>
      <c r="E81">
        <v>-84.244799999999998</v>
      </c>
      <c r="F81">
        <v>-93.522099999999995</v>
      </c>
      <c r="G81">
        <v>-102.4859</v>
      </c>
      <c r="H81">
        <v>-67.0505</v>
      </c>
      <c r="I81">
        <v>-98.257300000000001</v>
      </c>
      <c r="J81">
        <v>-76.7881</v>
      </c>
      <c r="K81">
        <v>-34.3703</v>
      </c>
      <c r="M81" s="1" t="s">
        <v>54</v>
      </c>
      <c r="N81">
        <v>-53.7</v>
      </c>
      <c r="O81">
        <v>-85.121499999999997</v>
      </c>
      <c r="P81">
        <v>-68.349400000000003</v>
      </c>
      <c r="Q81">
        <v>-76.943200000000004</v>
      </c>
      <c r="R81">
        <v>-106.4248</v>
      </c>
      <c r="S81">
        <v>-53.505699999999997</v>
      </c>
      <c r="T81">
        <v>-74.769000000000005</v>
      </c>
      <c r="U81">
        <v>-69.642300000000006</v>
      </c>
      <c r="V81">
        <v>-39.579599999999999</v>
      </c>
    </row>
    <row r="82" spans="1:22" x14ac:dyDescent="0.35">
      <c r="A82" s="1" t="s">
        <v>89</v>
      </c>
      <c r="B82">
        <v>-89.3</v>
      </c>
      <c r="C82" t="s">
        <v>89</v>
      </c>
      <c r="D82">
        <v>-105.87860000000001</v>
      </c>
      <c r="E82">
        <v>-82.837599999999995</v>
      </c>
      <c r="F82">
        <v>-91.9191</v>
      </c>
      <c r="G82">
        <v>-101.02249999999999</v>
      </c>
      <c r="H82">
        <v>-65.609800000000007</v>
      </c>
      <c r="I82">
        <v>-96.409899999999993</v>
      </c>
      <c r="J82">
        <v>-74.170699999999997</v>
      </c>
      <c r="K82">
        <v>-31.658100000000001</v>
      </c>
      <c r="M82" s="1" t="s">
        <v>55</v>
      </c>
      <c r="N82">
        <v>-53.5</v>
      </c>
      <c r="O82">
        <v>-86.894599999999997</v>
      </c>
      <c r="P82">
        <v>-70.351500000000001</v>
      </c>
      <c r="Q82">
        <v>-79.418800000000005</v>
      </c>
      <c r="R82">
        <v>-76.991900000000001</v>
      </c>
      <c r="S82">
        <v>-55.462200000000003</v>
      </c>
      <c r="T82">
        <v>-78.242599999999996</v>
      </c>
      <c r="U82">
        <v>-72.210300000000004</v>
      </c>
      <c r="V82">
        <v>-38.472000000000001</v>
      </c>
    </row>
    <row r="83" spans="1:22" x14ac:dyDescent="0.35">
      <c r="A83" s="1" t="s">
        <v>90</v>
      </c>
      <c r="B83">
        <v>-89.4</v>
      </c>
      <c r="C83" t="s">
        <v>90</v>
      </c>
      <c r="D83">
        <v>-107.2543</v>
      </c>
      <c r="E83">
        <v>-84.145300000000006</v>
      </c>
      <c r="F83">
        <v>-93.447400000000002</v>
      </c>
      <c r="G83">
        <v>-101.78749999999999</v>
      </c>
      <c r="H83">
        <v>-66.724699999999999</v>
      </c>
      <c r="I83">
        <v>-102.003</v>
      </c>
      <c r="J83">
        <v>-75.557000000000002</v>
      </c>
      <c r="K83">
        <v>-33.393000000000001</v>
      </c>
      <c r="M83" s="1" t="s">
        <v>56</v>
      </c>
      <c r="N83">
        <v>-69</v>
      </c>
      <c r="O83">
        <v>-95.396299999999997</v>
      </c>
      <c r="P83">
        <v>-74.394800000000004</v>
      </c>
      <c r="Q83">
        <v>-82.783199999999994</v>
      </c>
      <c r="R83">
        <v>-76.425299999999993</v>
      </c>
      <c r="S83">
        <v>-58.300800000000002</v>
      </c>
      <c r="T83">
        <v>-90.387500000000003</v>
      </c>
      <c r="U83">
        <v>-73.813000000000002</v>
      </c>
      <c r="V83">
        <v>-39.500100000000003</v>
      </c>
    </row>
    <row r="84" spans="1:22" x14ac:dyDescent="0.35">
      <c r="A84" s="1" t="s">
        <v>91</v>
      </c>
      <c r="B84">
        <v>-89.8</v>
      </c>
      <c r="C84" t="s">
        <v>91</v>
      </c>
      <c r="D84">
        <v>-103.9538</v>
      </c>
      <c r="E84">
        <v>-81.420599999999993</v>
      </c>
      <c r="F84">
        <v>-90.3566</v>
      </c>
      <c r="G84">
        <v>-98.492900000000006</v>
      </c>
      <c r="H84">
        <v>-64.966399999999993</v>
      </c>
      <c r="I84">
        <v>-98.329599999999999</v>
      </c>
      <c r="J84">
        <v>-72.439400000000006</v>
      </c>
      <c r="K84">
        <v>-29.575600000000001</v>
      </c>
      <c r="M84" s="1" t="s">
        <v>57</v>
      </c>
      <c r="N84">
        <v>-66.8</v>
      </c>
      <c r="O84">
        <v>-97.263099999999994</v>
      </c>
      <c r="P84">
        <v>-76.030500000000004</v>
      </c>
      <c r="Q84">
        <v>-84.483999999999995</v>
      </c>
      <c r="R84">
        <v>-76.840999999999994</v>
      </c>
      <c r="S84">
        <v>-59.557400000000001</v>
      </c>
      <c r="T84">
        <v>-87.709699999999998</v>
      </c>
      <c r="U84">
        <v>-76.906899999999993</v>
      </c>
      <c r="V84">
        <v>-37.532600000000002</v>
      </c>
    </row>
    <row r="85" spans="1:22" x14ac:dyDescent="0.35">
      <c r="A85" s="1" t="s">
        <v>92</v>
      </c>
      <c r="B85">
        <v>-59.5</v>
      </c>
      <c r="C85" t="s">
        <v>92</v>
      </c>
      <c r="D85">
        <v>-77.227099999999993</v>
      </c>
      <c r="E85">
        <v>-62.351999999999997</v>
      </c>
      <c r="F85">
        <v>-69.948800000000006</v>
      </c>
      <c r="G85">
        <v>-72.706999999999994</v>
      </c>
      <c r="H85">
        <v>-48.546799999999998</v>
      </c>
      <c r="I85">
        <v>-65.213700000000003</v>
      </c>
      <c r="J85">
        <v>-61.003100000000003</v>
      </c>
      <c r="K85">
        <v>-31.475200000000001</v>
      </c>
      <c r="M85" s="1" t="s">
        <v>58</v>
      </c>
      <c r="N85">
        <v>-67.099999999999994</v>
      </c>
      <c r="O85">
        <v>-95.356899999999996</v>
      </c>
      <c r="P85">
        <v>-74.354900000000001</v>
      </c>
      <c r="Q85">
        <v>-82.804299999999998</v>
      </c>
      <c r="R85">
        <v>-74.478999999999999</v>
      </c>
      <c r="S85">
        <v>-58.288400000000003</v>
      </c>
      <c r="T85">
        <v>-85.896000000000001</v>
      </c>
      <c r="U85">
        <v>-74.730599999999995</v>
      </c>
      <c r="V85">
        <v>-47.218600000000002</v>
      </c>
    </row>
    <row r="86" spans="1:22" x14ac:dyDescent="0.35">
      <c r="A86" s="1" t="s">
        <v>93</v>
      </c>
      <c r="B86">
        <v>-66.5</v>
      </c>
      <c r="C86" t="s">
        <v>93</v>
      </c>
      <c r="D86">
        <v>-73.828999999999994</v>
      </c>
      <c r="E86">
        <v>-59.669899999999998</v>
      </c>
      <c r="F86">
        <v>-66.912400000000005</v>
      </c>
      <c r="G86">
        <v>-68.782499999999999</v>
      </c>
      <c r="H86">
        <v>-47.356299999999997</v>
      </c>
      <c r="I86">
        <v>-64.141400000000004</v>
      </c>
      <c r="J86">
        <v>-57.266100000000002</v>
      </c>
      <c r="K86">
        <v>-26.286200000000001</v>
      </c>
      <c r="M86" s="1" t="s">
        <v>59</v>
      </c>
      <c r="N86">
        <v>-66</v>
      </c>
      <c r="O86">
        <v>-94.082899999999995</v>
      </c>
      <c r="P86">
        <v>-73.195499999999996</v>
      </c>
      <c r="Q86">
        <v>-81.350800000000007</v>
      </c>
      <c r="R86">
        <v>-98.511099999999999</v>
      </c>
      <c r="S86">
        <v>-57.563099999999999</v>
      </c>
      <c r="T86">
        <v>-85.187600000000003</v>
      </c>
      <c r="U86">
        <v>-73.427999999999997</v>
      </c>
      <c r="V86">
        <v>-47.086599999999997</v>
      </c>
    </row>
    <row r="87" spans="1:22" x14ac:dyDescent="0.35">
      <c r="A87" s="1" t="s">
        <v>94</v>
      </c>
      <c r="B87">
        <v>-58.9</v>
      </c>
      <c r="C87" t="s">
        <v>94</v>
      </c>
      <c r="D87">
        <v>-76.481899999999996</v>
      </c>
      <c r="E87">
        <v>-61.993899999999996</v>
      </c>
      <c r="F87">
        <v>-69.574100000000001</v>
      </c>
      <c r="G87">
        <v>-71.551500000000004</v>
      </c>
      <c r="H87">
        <v>-48.237699999999997</v>
      </c>
      <c r="I87">
        <v>-65.632800000000003</v>
      </c>
      <c r="J87">
        <v>-60.942599999999999</v>
      </c>
      <c r="K87">
        <v>-32.483600000000003</v>
      </c>
      <c r="M87" s="1" t="s">
        <v>60</v>
      </c>
      <c r="N87">
        <v>-72.3</v>
      </c>
      <c r="O87">
        <v>-95.581299999999999</v>
      </c>
      <c r="P87">
        <v>-74.640299999999996</v>
      </c>
      <c r="Q87">
        <v>-83.017899999999997</v>
      </c>
      <c r="R87">
        <v>-97.909099999999995</v>
      </c>
      <c r="S87">
        <v>-58.465899999999998</v>
      </c>
      <c r="T87">
        <v>-86.284700000000001</v>
      </c>
      <c r="U87">
        <v>-75.466999999999999</v>
      </c>
      <c r="V87">
        <v>-46.497599999999998</v>
      </c>
    </row>
    <row r="88" spans="1:22" x14ac:dyDescent="0.35">
      <c r="A88" s="1" t="s">
        <v>95</v>
      </c>
      <c r="B88">
        <v>-64.400000000000006</v>
      </c>
      <c r="C88" t="s">
        <v>95</v>
      </c>
      <c r="D88">
        <v>-75.006100000000004</v>
      </c>
      <c r="E88">
        <v>-60.582000000000001</v>
      </c>
      <c r="F88">
        <v>-67.917100000000005</v>
      </c>
      <c r="G88">
        <v>-68.588399999999993</v>
      </c>
      <c r="H88">
        <v>-47.230600000000003</v>
      </c>
      <c r="I88">
        <v>-64.885499999999993</v>
      </c>
      <c r="J88">
        <v>-58.918500000000002</v>
      </c>
      <c r="K88">
        <v>-29.095400000000001</v>
      </c>
      <c r="M88" s="1" t="s">
        <v>99</v>
      </c>
      <c r="N88">
        <v>-69.2</v>
      </c>
      <c r="O88">
        <v>-96.576700000000002</v>
      </c>
      <c r="P88">
        <v>-75.358199999999997</v>
      </c>
      <c r="Q88">
        <v>-83.816199999999995</v>
      </c>
      <c r="R88">
        <v>-97.076599999999999</v>
      </c>
      <c r="S88">
        <v>-59.410299999999999</v>
      </c>
      <c r="T88">
        <v>-88.977900000000005</v>
      </c>
      <c r="U88">
        <v>-75.945300000000003</v>
      </c>
      <c r="V88">
        <v>-33.422400000000003</v>
      </c>
    </row>
    <row r="89" spans="1:22" x14ac:dyDescent="0.35">
      <c r="A89" s="1" t="s">
        <v>96</v>
      </c>
      <c r="B89">
        <v>-71.900000000000006</v>
      </c>
      <c r="C89" t="s">
        <v>96</v>
      </c>
      <c r="D89">
        <v>-99.152299999999997</v>
      </c>
      <c r="E89">
        <v>-80.156499999999994</v>
      </c>
      <c r="F89">
        <v>-89.791700000000006</v>
      </c>
      <c r="G89">
        <v>-95.997100000000003</v>
      </c>
      <c r="H89">
        <v>-63.0077</v>
      </c>
      <c r="I89">
        <v>-89.147499999999994</v>
      </c>
      <c r="J89">
        <v>-77.424400000000006</v>
      </c>
      <c r="K89">
        <v>-43.890599999999999</v>
      </c>
      <c r="M89" s="1" t="s">
        <v>100</v>
      </c>
      <c r="N89">
        <v>-63.7</v>
      </c>
      <c r="O89">
        <v>-95.578500000000005</v>
      </c>
      <c r="P89">
        <v>-74.444900000000004</v>
      </c>
      <c r="Q89">
        <v>-82.893600000000006</v>
      </c>
      <c r="R89">
        <v>-93.376900000000006</v>
      </c>
      <c r="S89">
        <v>-58.474400000000003</v>
      </c>
      <c r="T89">
        <v>-90.547499999999999</v>
      </c>
      <c r="U89">
        <v>-74.847200000000001</v>
      </c>
      <c r="V89">
        <v>-32.715800000000002</v>
      </c>
    </row>
    <row r="90" spans="1:22" x14ac:dyDescent="0.35">
      <c r="A90" s="1" t="s">
        <v>97</v>
      </c>
      <c r="B90">
        <v>-76.5</v>
      </c>
      <c r="C90" t="s">
        <v>97</v>
      </c>
      <c r="D90">
        <v>-99.563599999999994</v>
      </c>
      <c r="E90">
        <v>-80.409400000000005</v>
      </c>
      <c r="F90">
        <v>-90.084500000000006</v>
      </c>
      <c r="G90">
        <v>-95.897099999999995</v>
      </c>
      <c r="H90">
        <v>-63.354100000000003</v>
      </c>
      <c r="I90">
        <v>-93.035399999999996</v>
      </c>
      <c r="J90">
        <v>-77.273799999999994</v>
      </c>
      <c r="K90">
        <v>-43.9054</v>
      </c>
      <c r="M90" s="1" t="s">
        <v>101</v>
      </c>
      <c r="N90">
        <v>-63.6</v>
      </c>
      <c r="O90">
        <v>-95.129400000000004</v>
      </c>
      <c r="P90">
        <v>-74.054100000000005</v>
      </c>
      <c r="Q90">
        <v>-82.531899999999993</v>
      </c>
      <c r="R90">
        <v>-91.705299999999994</v>
      </c>
      <c r="S90">
        <v>-58.0854</v>
      </c>
      <c r="T90">
        <v>-89.734300000000005</v>
      </c>
      <c r="U90">
        <v>-73.749399999999994</v>
      </c>
      <c r="V90">
        <v>-31.8581</v>
      </c>
    </row>
    <row r="91" spans="1:22" x14ac:dyDescent="0.35">
      <c r="A91" s="1" t="s">
        <v>98</v>
      </c>
      <c r="B91">
        <v>-70.7</v>
      </c>
      <c r="C91" t="s">
        <v>98</v>
      </c>
      <c r="D91">
        <v>-97.426000000000002</v>
      </c>
      <c r="E91">
        <v>-78.453599999999994</v>
      </c>
      <c r="F91">
        <v>-87.805599999999998</v>
      </c>
      <c r="G91">
        <v>-93.432599999999994</v>
      </c>
      <c r="H91">
        <v>-61.8904</v>
      </c>
      <c r="I91">
        <v>-91.238900000000001</v>
      </c>
      <c r="J91">
        <v>-75.016900000000007</v>
      </c>
      <c r="K91">
        <v>-41.383899999999997</v>
      </c>
      <c r="M91" s="1" t="s">
        <v>102</v>
      </c>
      <c r="N91">
        <v>-77</v>
      </c>
      <c r="O91">
        <v>-104.74039999999999</v>
      </c>
      <c r="P91">
        <v>-83.477999999999994</v>
      </c>
      <c r="Q91">
        <v>-93.837199999999996</v>
      </c>
      <c r="R91">
        <v>-90.958699999999993</v>
      </c>
      <c r="S91">
        <v>-65.092100000000002</v>
      </c>
      <c r="T91">
        <v>-100.57810000000001</v>
      </c>
      <c r="U91">
        <v>-83.783799999999999</v>
      </c>
      <c r="V91">
        <v>-41.973199999999999</v>
      </c>
    </row>
    <row r="92" spans="1:22" x14ac:dyDescent="0.35">
      <c r="A92" s="1" t="s">
        <v>99</v>
      </c>
      <c r="B92">
        <v>-69.2</v>
      </c>
      <c r="C92" t="s">
        <v>99</v>
      </c>
      <c r="D92">
        <v>-92.448999999999998</v>
      </c>
      <c r="E92">
        <v>-71.595799999999997</v>
      </c>
      <c r="F92">
        <v>-79.125399999999999</v>
      </c>
      <c r="G92">
        <v>-86.893699999999995</v>
      </c>
      <c r="H92">
        <v>-56.914400000000001</v>
      </c>
      <c r="I92">
        <v>-87.566900000000004</v>
      </c>
      <c r="J92">
        <v>-65.711100000000002</v>
      </c>
      <c r="K92">
        <v>-25.819099999999999</v>
      </c>
      <c r="M92" s="1" t="s">
        <v>103</v>
      </c>
      <c r="N92">
        <v>-78.099999999999994</v>
      </c>
      <c r="O92">
        <v>-103.535</v>
      </c>
      <c r="P92">
        <v>-82.205299999999994</v>
      </c>
      <c r="Q92">
        <v>-92.273700000000005</v>
      </c>
      <c r="R92">
        <v>-101.80549999999999</v>
      </c>
      <c r="S92">
        <v>-63.686799999999998</v>
      </c>
      <c r="T92">
        <v>-93.887299999999996</v>
      </c>
      <c r="U92">
        <v>-82.169200000000004</v>
      </c>
      <c r="V92">
        <v>-40.033799999999999</v>
      </c>
    </row>
    <row r="93" spans="1:22" x14ac:dyDescent="0.35">
      <c r="A93" s="1" t="s">
        <v>100</v>
      </c>
      <c r="B93">
        <v>-63.7</v>
      </c>
      <c r="C93" t="s">
        <v>100</v>
      </c>
      <c r="D93">
        <v>-92.782899999999998</v>
      </c>
      <c r="E93">
        <v>-72.271799999999999</v>
      </c>
      <c r="F93">
        <v>-80.066000000000003</v>
      </c>
      <c r="G93">
        <v>-87.128200000000007</v>
      </c>
      <c r="H93">
        <v>-57.836599999999997</v>
      </c>
      <c r="I93">
        <v>-85.326700000000002</v>
      </c>
      <c r="J93">
        <v>-65.544899999999998</v>
      </c>
      <c r="K93">
        <v>-26.096900000000002</v>
      </c>
      <c r="M93" s="1" t="s">
        <v>104</v>
      </c>
      <c r="N93">
        <v>-73.400000000000006</v>
      </c>
      <c r="O93">
        <v>-103.83029999999999</v>
      </c>
      <c r="P93">
        <v>-82.793000000000006</v>
      </c>
      <c r="Q93">
        <v>-92.9863</v>
      </c>
      <c r="R93">
        <v>-99.222899999999996</v>
      </c>
      <c r="S93">
        <v>-64.050899999999999</v>
      </c>
      <c r="T93">
        <v>-95.195099999999996</v>
      </c>
      <c r="U93">
        <v>-81.611500000000007</v>
      </c>
      <c r="V93">
        <v>-40.0351</v>
      </c>
    </row>
    <row r="94" spans="1:22" x14ac:dyDescent="0.35">
      <c r="A94" s="1" t="s">
        <v>101</v>
      </c>
      <c r="B94">
        <v>-63.6</v>
      </c>
      <c r="C94" t="s">
        <v>101</v>
      </c>
      <c r="D94">
        <v>-92.353700000000003</v>
      </c>
      <c r="E94">
        <v>-71.546199999999999</v>
      </c>
      <c r="F94">
        <v>-78.825299999999999</v>
      </c>
      <c r="G94">
        <v>-85.327200000000005</v>
      </c>
      <c r="H94">
        <v>-57.2913</v>
      </c>
      <c r="I94">
        <v>-86.903199999999998</v>
      </c>
      <c r="J94">
        <v>-64.567599999999999</v>
      </c>
      <c r="K94">
        <v>-23.056100000000001</v>
      </c>
      <c r="M94" s="1" t="s">
        <v>105</v>
      </c>
      <c r="N94">
        <v>-87.6</v>
      </c>
      <c r="O94">
        <v>-114.7405</v>
      </c>
      <c r="P94">
        <v>-92.521000000000001</v>
      </c>
      <c r="Q94">
        <v>-104.2876</v>
      </c>
      <c r="R94">
        <v>-99.257199999999997</v>
      </c>
      <c r="S94">
        <v>-71.272199999999998</v>
      </c>
      <c r="T94">
        <v>-106.2422</v>
      </c>
      <c r="U94">
        <v>-90.923199999999994</v>
      </c>
      <c r="V94">
        <v>-49.734200000000001</v>
      </c>
    </row>
    <row r="95" spans="1:22" x14ac:dyDescent="0.35">
      <c r="A95" s="1" t="s">
        <v>102</v>
      </c>
      <c r="B95">
        <v>-77</v>
      </c>
      <c r="C95" t="s">
        <v>102</v>
      </c>
      <c r="D95">
        <v>-102.6143</v>
      </c>
      <c r="E95">
        <v>-81.671300000000002</v>
      </c>
      <c r="F95">
        <v>-91.444000000000003</v>
      </c>
      <c r="G95">
        <v>-98.422899999999998</v>
      </c>
      <c r="H95">
        <v>-65.016199999999998</v>
      </c>
      <c r="I95">
        <v>-97.020499999999998</v>
      </c>
      <c r="J95">
        <v>-75.172799999999995</v>
      </c>
      <c r="K95">
        <v>-34.0002</v>
      </c>
      <c r="M95" s="1" t="s">
        <v>106</v>
      </c>
      <c r="N95">
        <v>-87.9</v>
      </c>
      <c r="O95">
        <v>-114.7405</v>
      </c>
      <c r="P95">
        <v>-92.516099999999994</v>
      </c>
      <c r="Q95">
        <v>-104.43219999999999</v>
      </c>
      <c r="R95">
        <v>-108.9071</v>
      </c>
      <c r="S95">
        <v>-70.845299999999995</v>
      </c>
      <c r="T95">
        <v>-105.2503</v>
      </c>
      <c r="U95">
        <v>-91.822800000000001</v>
      </c>
      <c r="V95">
        <v>-49.950299999999999</v>
      </c>
    </row>
    <row r="96" spans="1:22" x14ac:dyDescent="0.35">
      <c r="A96" s="1" t="s">
        <v>103</v>
      </c>
      <c r="B96">
        <v>-78.099999999999994</v>
      </c>
      <c r="C96" t="s">
        <v>103</v>
      </c>
      <c r="D96">
        <v>-100.645</v>
      </c>
      <c r="E96">
        <v>-79.978200000000001</v>
      </c>
      <c r="F96">
        <v>-89.167699999999996</v>
      </c>
      <c r="G96">
        <v>-94.5822</v>
      </c>
      <c r="H96">
        <v>-62.762900000000002</v>
      </c>
      <c r="I96">
        <v>-85.518699999999995</v>
      </c>
      <c r="J96">
        <v>-72.593599999999995</v>
      </c>
      <c r="K96">
        <v>-31.142499999999998</v>
      </c>
      <c r="M96" s="1" t="s">
        <v>107</v>
      </c>
      <c r="N96">
        <v>-87.1</v>
      </c>
      <c r="O96">
        <v>-114.02500000000001</v>
      </c>
      <c r="P96">
        <v>-91.886799999999994</v>
      </c>
      <c r="Q96">
        <v>-103.733</v>
      </c>
      <c r="R96">
        <v>-109.61660000000001</v>
      </c>
      <c r="S96">
        <v>-70.272000000000006</v>
      </c>
      <c r="T96">
        <v>-105.22580000000001</v>
      </c>
      <c r="U96">
        <v>-90.652299999999997</v>
      </c>
      <c r="V96">
        <v>-49.152900000000002</v>
      </c>
    </row>
    <row r="97" spans="1:22" x14ac:dyDescent="0.35">
      <c r="A97" s="1" t="s">
        <v>104</v>
      </c>
      <c r="B97">
        <v>-73.400000000000006</v>
      </c>
      <c r="C97" t="s">
        <v>104</v>
      </c>
      <c r="D97">
        <v>-95.289599999999993</v>
      </c>
      <c r="E97">
        <v>-75.9358</v>
      </c>
      <c r="F97">
        <v>-85.024799999999999</v>
      </c>
      <c r="G97">
        <v>-90.294499999999999</v>
      </c>
      <c r="H97">
        <v>-59.798400000000001</v>
      </c>
      <c r="I97">
        <v>-90.332099999999997</v>
      </c>
      <c r="J97">
        <v>-68.860500000000002</v>
      </c>
      <c r="K97">
        <v>-28.857299999999999</v>
      </c>
      <c r="M97" s="1" t="s">
        <v>120</v>
      </c>
      <c r="N97">
        <v>-69.5</v>
      </c>
      <c r="O97">
        <v>-99.197500000000005</v>
      </c>
      <c r="P97">
        <v>-77.8142</v>
      </c>
      <c r="Q97">
        <v>-87.125900000000001</v>
      </c>
      <c r="R97">
        <v>-108.87520000000001</v>
      </c>
      <c r="S97">
        <v>-60.902700000000003</v>
      </c>
      <c r="T97">
        <v>-89.236599999999996</v>
      </c>
      <c r="U97">
        <v>-77.178899999999999</v>
      </c>
      <c r="V97">
        <v>-33.0259</v>
      </c>
    </row>
    <row r="98" spans="1:22" x14ac:dyDescent="0.35">
      <c r="A98" s="1" t="s">
        <v>105</v>
      </c>
      <c r="B98">
        <v>-87.6</v>
      </c>
      <c r="C98" t="s">
        <v>105</v>
      </c>
      <c r="D98">
        <v>-109.8438</v>
      </c>
      <c r="E98">
        <v>-88.605500000000006</v>
      </c>
      <c r="F98">
        <v>-99.865799999999993</v>
      </c>
      <c r="G98">
        <v>-102.8984</v>
      </c>
      <c r="H98">
        <v>-69.077399999999997</v>
      </c>
      <c r="I98">
        <v>-102.1875</v>
      </c>
      <c r="J98">
        <v>-80.739000000000004</v>
      </c>
      <c r="K98">
        <v>-41.932400000000001</v>
      </c>
      <c r="M98" s="1" t="s">
        <v>121</v>
      </c>
      <c r="N98">
        <v>-69.2</v>
      </c>
      <c r="O98">
        <v>-98.295900000000003</v>
      </c>
      <c r="P98">
        <v>-76.912999999999997</v>
      </c>
      <c r="Q98">
        <v>-86.205200000000005</v>
      </c>
      <c r="R98">
        <v>-93.679599999999994</v>
      </c>
      <c r="S98">
        <v>-60.482799999999997</v>
      </c>
      <c r="T98">
        <v>-89.548400000000001</v>
      </c>
      <c r="U98">
        <v>-78.138499999999993</v>
      </c>
      <c r="V98">
        <v>-35.774799999999999</v>
      </c>
    </row>
    <row r="99" spans="1:22" x14ac:dyDescent="0.35">
      <c r="A99" s="1" t="s">
        <v>106</v>
      </c>
      <c r="B99">
        <v>-87.9</v>
      </c>
      <c r="C99" t="s">
        <v>106</v>
      </c>
      <c r="D99">
        <v>-113.5894</v>
      </c>
      <c r="E99">
        <v>-91.976500000000001</v>
      </c>
      <c r="F99">
        <v>-103.7594</v>
      </c>
      <c r="G99">
        <v>-106.6555</v>
      </c>
      <c r="H99">
        <v>-71.832999999999998</v>
      </c>
      <c r="I99">
        <v>-98.732799999999997</v>
      </c>
      <c r="J99">
        <v>-83.5839</v>
      </c>
      <c r="K99">
        <v>-41.7498</v>
      </c>
      <c r="M99" s="1" t="s">
        <v>122</v>
      </c>
      <c r="N99">
        <v>-74.900000000000006</v>
      </c>
      <c r="O99">
        <v>-99.4375</v>
      </c>
      <c r="P99">
        <v>-78.091200000000001</v>
      </c>
      <c r="Q99">
        <v>-87.6999</v>
      </c>
      <c r="R99">
        <v>-94.403099999999995</v>
      </c>
      <c r="S99">
        <v>-61.319499999999998</v>
      </c>
      <c r="T99">
        <v>-94.366600000000005</v>
      </c>
      <c r="U99">
        <v>-78.750500000000002</v>
      </c>
      <c r="V99">
        <v>-36.035899999999998</v>
      </c>
    </row>
    <row r="100" spans="1:22" x14ac:dyDescent="0.35">
      <c r="A100" s="1" t="s">
        <v>107</v>
      </c>
      <c r="B100">
        <v>-87.1</v>
      </c>
      <c r="C100" t="s">
        <v>107</v>
      </c>
      <c r="D100">
        <v>-106.1934</v>
      </c>
      <c r="E100">
        <v>-84.998400000000004</v>
      </c>
      <c r="F100">
        <v>-95.423599999999993</v>
      </c>
      <c r="G100">
        <v>-99.865399999999994</v>
      </c>
      <c r="H100">
        <v>-66.527500000000003</v>
      </c>
      <c r="I100">
        <v>-98.365700000000004</v>
      </c>
      <c r="J100">
        <v>-76.698300000000003</v>
      </c>
      <c r="K100">
        <v>-36.829000000000001</v>
      </c>
      <c r="M100" s="1" t="s">
        <v>123</v>
      </c>
      <c r="N100">
        <v>-75.900000000000006</v>
      </c>
      <c r="O100">
        <v>-104.3377</v>
      </c>
      <c r="P100">
        <v>-83.445499999999996</v>
      </c>
      <c r="Q100">
        <v>-93.627799999999993</v>
      </c>
      <c r="R100">
        <v>-95.798699999999997</v>
      </c>
      <c r="S100">
        <v>-65.006</v>
      </c>
      <c r="T100">
        <v>-92.2286</v>
      </c>
      <c r="U100">
        <v>-83.926900000000003</v>
      </c>
      <c r="V100">
        <v>-42.829799999999999</v>
      </c>
    </row>
    <row r="101" spans="1:22" x14ac:dyDescent="0.35">
      <c r="A101" s="1" t="s">
        <v>108</v>
      </c>
      <c r="B101">
        <v>-124.6</v>
      </c>
      <c r="C101" t="s">
        <v>108</v>
      </c>
      <c r="D101">
        <v>-179.15989999999999</v>
      </c>
      <c r="E101">
        <v>-140.54089999999999</v>
      </c>
      <c r="F101">
        <v>-156.7353</v>
      </c>
      <c r="G101">
        <v>-167.14959999999999</v>
      </c>
      <c r="H101">
        <v>-111.8296</v>
      </c>
      <c r="I101">
        <v>-172.70760000000001</v>
      </c>
      <c r="J101">
        <v>-103.65649999999999</v>
      </c>
      <c r="K101">
        <v>-29.463899999999999</v>
      </c>
      <c r="M101" s="1" t="s">
        <v>124</v>
      </c>
      <c r="N101">
        <v>-73.400000000000006</v>
      </c>
      <c r="O101">
        <v>-103.9975</v>
      </c>
      <c r="P101">
        <v>-83.197000000000003</v>
      </c>
      <c r="Q101">
        <v>-93.402299999999997</v>
      </c>
      <c r="R101">
        <v>-100.43859999999999</v>
      </c>
      <c r="S101">
        <v>-65.220299999999995</v>
      </c>
      <c r="T101">
        <v>-91.343500000000006</v>
      </c>
      <c r="U101">
        <v>-84.604200000000006</v>
      </c>
      <c r="V101">
        <v>-43.628900000000002</v>
      </c>
    </row>
    <row r="102" spans="1:22" x14ac:dyDescent="0.35">
      <c r="A102" s="1" t="s">
        <v>109</v>
      </c>
      <c r="B102">
        <v>-129.5</v>
      </c>
      <c r="C102" t="s">
        <v>109</v>
      </c>
      <c r="D102">
        <v>-177.03579999999999</v>
      </c>
      <c r="E102">
        <v>-138.58080000000001</v>
      </c>
      <c r="F102">
        <v>-154.90690000000001</v>
      </c>
      <c r="G102">
        <v>-167.80199999999999</v>
      </c>
      <c r="H102">
        <v>-108.85509999999999</v>
      </c>
      <c r="I102">
        <v>-169.96940000000001</v>
      </c>
      <c r="J102">
        <v>-102.7891</v>
      </c>
      <c r="K102">
        <v>-30.536100000000001</v>
      </c>
      <c r="M102" s="1" t="s">
        <v>125</v>
      </c>
      <c r="N102">
        <v>-73.900000000000006</v>
      </c>
      <c r="O102">
        <v>-103.6118</v>
      </c>
      <c r="P102">
        <v>-82.818600000000004</v>
      </c>
      <c r="Q102">
        <v>-92.992199999999997</v>
      </c>
      <c r="R102">
        <v>-100.7535</v>
      </c>
      <c r="S102">
        <v>-64.651499999999999</v>
      </c>
      <c r="T102">
        <v>-92.8065</v>
      </c>
      <c r="U102">
        <v>-83.040800000000004</v>
      </c>
      <c r="V102">
        <v>-42.477699999999999</v>
      </c>
    </row>
    <row r="103" spans="1:22" x14ac:dyDescent="0.35">
      <c r="A103" s="1" t="s">
        <v>110</v>
      </c>
      <c r="B103">
        <v>-117.6</v>
      </c>
      <c r="C103" t="s">
        <v>110</v>
      </c>
      <c r="D103">
        <v>-175.40350000000001</v>
      </c>
      <c r="E103">
        <v>-137.3552</v>
      </c>
      <c r="F103">
        <v>-153.76249999999999</v>
      </c>
      <c r="G103">
        <v>-166.61500000000001</v>
      </c>
      <c r="H103">
        <v>-108.4576</v>
      </c>
      <c r="I103">
        <v>-164.85830000000001</v>
      </c>
      <c r="J103">
        <v>-101.04859999999999</v>
      </c>
      <c r="K103">
        <v>-29.646799999999999</v>
      </c>
      <c r="M103" s="1" t="s">
        <v>126</v>
      </c>
      <c r="N103">
        <v>-73.400000000000006</v>
      </c>
      <c r="O103">
        <v>-100.4024</v>
      </c>
      <c r="P103">
        <v>-79.659599999999998</v>
      </c>
      <c r="Q103">
        <v>-89.235100000000003</v>
      </c>
      <c r="R103">
        <v>-99.8245</v>
      </c>
      <c r="S103">
        <v>-62.508400000000002</v>
      </c>
      <c r="T103">
        <v>-93.781000000000006</v>
      </c>
      <c r="U103">
        <v>-79.668199999999999</v>
      </c>
      <c r="V103">
        <v>-37.895899999999997</v>
      </c>
    </row>
    <row r="104" spans="1:22" x14ac:dyDescent="0.35">
      <c r="A104" s="1" t="s">
        <v>111</v>
      </c>
      <c r="B104">
        <v>-116.6</v>
      </c>
      <c r="C104" t="s">
        <v>111</v>
      </c>
      <c r="D104">
        <v>-175.88200000000001</v>
      </c>
      <c r="E104">
        <v>-138.1566</v>
      </c>
      <c r="F104">
        <v>-154.4443</v>
      </c>
      <c r="G104">
        <v>-167.08690000000001</v>
      </c>
      <c r="H104">
        <v>-109.6138</v>
      </c>
      <c r="I104">
        <v>-166.09569999999999</v>
      </c>
      <c r="J104">
        <v>-102.0093</v>
      </c>
      <c r="K104">
        <v>-30.0245</v>
      </c>
      <c r="M104" s="1" t="s">
        <v>127</v>
      </c>
      <c r="N104">
        <v>-70.8</v>
      </c>
      <c r="O104">
        <v>-100.1576</v>
      </c>
      <c r="P104">
        <v>-79.613200000000006</v>
      </c>
      <c r="Q104">
        <v>-89.202500000000001</v>
      </c>
      <c r="R104">
        <v>-96.989500000000007</v>
      </c>
      <c r="S104">
        <v>-62.467500000000001</v>
      </c>
      <c r="T104">
        <v>-91.937600000000003</v>
      </c>
      <c r="U104">
        <v>-79.892600000000002</v>
      </c>
      <c r="V104">
        <v>-38.777999999999999</v>
      </c>
    </row>
    <row r="105" spans="1:22" x14ac:dyDescent="0.35">
      <c r="A105" s="1" t="s">
        <v>112</v>
      </c>
      <c r="B105">
        <v>-115.3</v>
      </c>
      <c r="C105" t="s">
        <v>112</v>
      </c>
      <c r="D105">
        <v>-178.63069999999999</v>
      </c>
      <c r="E105">
        <v>-139.61420000000001</v>
      </c>
      <c r="F105">
        <v>-155.59989999999999</v>
      </c>
      <c r="G105">
        <v>-168.01300000000001</v>
      </c>
      <c r="H105">
        <v>-111.5386</v>
      </c>
      <c r="I105">
        <v>-167.93260000000001</v>
      </c>
      <c r="J105">
        <v>-103.59229999999999</v>
      </c>
      <c r="K105">
        <v>-29.1172</v>
      </c>
      <c r="M105" s="1" t="s">
        <v>128</v>
      </c>
      <c r="N105">
        <v>-74.900000000000006</v>
      </c>
      <c r="O105">
        <v>-99.919600000000003</v>
      </c>
      <c r="P105">
        <v>-79.204300000000003</v>
      </c>
      <c r="Q105">
        <v>-88.769000000000005</v>
      </c>
      <c r="R105">
        <v>-96.890299999999996</v>
      </c>
      <c r="S105">
        <v>-62.427999999999997</v>
      </c>
      <c r="T105">
        <v>-97.730500000000006</v>
      </c>
      <c r="U105">
        <v>-78.536600000000007</v>
      </c>
      <c r="V105">
        <v>-37.087699999999998</v>
      </c>
    </row>
    <row r="106" spans="1:22" x14ac:dyDescent="0.35">
      <c r="A106" s="1" t="s">
        <v>113</v>
      </c>
      <c r="B106">
        <v>-118.8</v>
      </c>
      <c r="C106" t="s">
        <v>113</v>
      </c>
      <c r="D106">
        <v>-177.52760000000001</v>
      </c>
      <c r="E106">
        <v>-138.70699999999999</v>
      </c>
      <c r="F106">
        <v>-155.14169999999999</v>
      </c>
      <c r="G106">
        <v>-166.8219</v>
      </c>
      <c r="H106">
        <v>-108.9629</v>
      </c>
      <c r="I106">
        <v>-174.60390000000001</v>
      </c>
      <c r="J106">
        <v>-112.36</v>
      </c>
      <c r="K106">
        <v>-29.7302</v>
      </c>
      <c r="M106" s="1" t="s">
        <v>129</v>
      </c>
      <c r="N106">
        <v>-74.900000000000006</v>
      </c>
      <c r="O106">
        <v>-101.6768</v>
      </c>
      <c r="P106">
        <v>-80.511700000000005</v>
      </c>
      <c r="Q106">
        <v>-90.068600000000004</v>
      </c>
      <c r="R106">
        <v>-95.810299999999998</v>
      </c>
      <c r="S106">
        <v>-63.142699999999998</v>
      </c>
      <c r="T106">
        <v>-91.641400000000004</v>
      </c>
      <c r="U106">
        <v>-81.501000000000005</v>
      </c>
      <c r="V106">
        <v>-39.148499999999999</v>
      </c>
    </row>
    <row r="107" spans="1:22" x14ac:dyDescent="0.35">
      <c r="A107" s="1" t="s">
        <v>114</v>
      </c>
      <c r="B107">
        <v>-137.9</v>
      </c>
      <c r="C107" t="s">
        <v>114</v>
      </c>
      <c r="D107">
        <v>-177.46119999999999</v>
      </c>
      <c r="E107">
        <v>-138.9718</v>
      </c>
      <c r="F107">
        <v>-155.41290000000001</v>
      </c>
      <c r="G107">
        <v>-167.26820000000001</v>
      </c>
      <c r="H107">
        <v>-109.7022</v>
      </c>
      <c r="I107">
        <v>-175.4573</v>
      </c>
      <c r="J107">
        <v>-118.57689999999999</v>
      </c>
      <c r="K107">
        <v>-38.594200000000001</v>
      </c>
      <c r="M107" s="1" t="s">
        <v>130</v>
      </c>
      <c r="N107">
        <v>-67.400000000000006</v>
      </c>
      <c r="O107">
        <v>-101.2907</v>
      </c>
      <c r="P107">
        <v>-80.327500000000001</v>
      </c>
      <c r="Q107">
        <v>-89.909599999999998</v>
      </c>
      <c r="R107">
        <v>-97.462699999999998</v>
      </c>
      <c r="S107">
        <v>-63.448</v>
      </c>
      <c r="T107">
        <v>-92.976500000000001</v>
      </c>
      <c r="U107">
        <v>-79.959900000000005</v>
      </c>
      <c r="V107">
        <v>-37.606400000000001</v>
      </c>
    </row>
    <row r="108" spans="1:22" x14ac:dyDescent="0.35">
      <c r="A108" s="1" t="s">
        <v>115</v>
      </c>
      <c r="B108">
        <v>-137.80000000000001</v>
      </c>
      <c r="C108" t="s">
        <v>115</v>
      </c>
      <c r="D108">
        <v>-177.2099</v>
      </c>
      <c r="E108">
        <v>-139.29140000000001</v>
      </c>
      <c r="F108">
        <v>-155.77629999999999</v>
      </c>
      <c r="G108">
        <v>-168.57380000000001</v>
      </c>
      <c r="H108">
        <v>-111.3586</v>
      </c>
      <c r="I108">
        <v>-170.26490000000001</v>
      </c>
      <c r="J108">
        <v>-116.715</v>
      </c>
      <c r="K108">
        <v>-34.759500000000003</v>
      </c>
      <c r="M108" s="1" t="s">
        <v>131</v>
      </c>
      <c r="N108">
        <v>-67.400000000000006</v>
      </c>
      <c r="O108">
        <v>-96.568399999999997</v>
      </c>
    </row>
    <row r="109" spans="1:22" x14ac:dyDescent="0.35">
      <c r="A109" s="1" t="s">
        <v>116</v>
      </c>
      <c r="B109">
        <v>-125.3</v>
      </c>
      <c r="C109" t="s">
        <v>116</v>
      </c>
      <c r="D109">
        <v>-177.096</v>
      </c>
      <c r="E109">
        <v>-138.9787</v>
      </c>
      <c r="F109">
        <v>-155.38210000000001</v>
      </c>
      <c r="G109">
        <v>-168.41990000000001</v>
      </c>
      <c r="H109">
        <v>-110.8275</v>
      </c>
      <c r="I109">
        <v>-168.99279999999999</v>
      </c>
      <c r="J109">
        <v>-117.2197</v>
      </c>
      <c r="K109">
        <v>-36.139000000000003</v>
      </c>
    </row>
    <row r="110" spans="1:22" x14ac:dyDescent="0.35">
      <c r="A110" s="1" t="s">
        <v>117</v>
      </c>
      <c r="B110">
        <v>-124.8</v>
      </c>
      <c r="C110" t="s">
        <v>117</v>
      </c>
      <c r="D110">
        <v>-175.8357</v>
      </c>
      <c r="E110">
        <v>-137.4032</v>
      </c>
      <c r="F110">
        <v>-153.48150000000001</v>
      </c>
      <c r="G110">
        <v>-167.22229999999999</v>
      </c>
      <c r="H110">
        <v>-108.4739</v>
      </c>
      <c r="I110">
        <v>-171.30930000000001</v>
      </c>
      <c r="J110">
        <v>-117.0274</v>
      </c>
      <c r="K110">
        <v>-36.675699999999999</v>
      </c>
    </row>
    <row r="111" spans="1:22" x14ac:dyDescent="0.35">
      <c r="A111" s="1" t="s">
        <v>118</v>
      </c>
      <c r="B111">
        <v>-126.5</v>
      </c>
      <c r="C111" t="s">
        <v>118</v>
      </c>
      <c r="D111">
        <v>-177.04920000000001</v>
      </c>
      <c r="E111">
        <v>-138.54640000000001</v>
      </c>
      <c r="F111">
        <v>-154.90100000000001</v>
      </c>
      <c r="G111">
        <v>-167.40119999999999</v>
      </c>
      <c r="H111">
        <v>-109.1358</v>
      </c>
      <c r="I111">
        <v>-169.13409999999999</v>
      </c>
      <c r="J111">
        <v>-117.9383</v>
      </c>
      <c r="K111">
        <v>-37.884</v>
      </c>
    </row>
    <row r="112" spans="1:22" x14ac:dyDescent="0.35">
      <c r="A112" s="1" t="s">
        <v>119</v>
      </c>
      <c r="B112">
        <v>-126.6</v>
      </c>
      <c r="C112" t="s">
        <v>119</v>
      </c>
      <c r="D112">
        <v>-175.14269999999999</v>
      </c>
      <c r="E112">
        <v>-136.68010000000001</v>
      </c>
      <c r="F112">
        <v>-152.80199999999999</v>
      </c>
      <c r="G112">
        <v>-165.9948</v>
      </c>
      <c r="H112">
        <v>-107.7615</v>
      </c>
      <c r="I112">
        <v>-174.85769999999999</v>
      </c>
      <c r="J112">
        <v>-116.52070000000001</v>
      </c>
      <c r="K112">
        <v>-36.663899999999998</v>
      </c>
    </row>
    <row r="113" spans="1:11" x14ac:dyDescent="0.35">
      <c r="A113" s="1" t="s">
        <v>120</v>
      </c>
      <c r="B113">
        <v>-69.5</v>
      </c>
      <c r="C113" t="s">
        <v>120</v>
      </c>
      <c r="D113">
        <v>-94.138800000000003</v>
      </c>
      <c r="E113">
        <v>-73.461200000000005</v>
      </c>
      <c r="F113">
        <v>-81.796999999999997</v>
      </c>
      <c r="G113">
        <v>-88.477599999999995</v>
      </c>
      <c r="H113">
        <v>-58.181199999999997</v>
      </c>
      <c r="I113">
        <v>-83.176100000000005</v>
      </c>
      <c r="J113">
        <v>-70.528700000000001</v>
      </c>
      <c r="K113">
        <v>-25.113199999999999</v>
      </c>
    </row>
    <row r="114" spans="1:11" x14ac:dyDescent="0.35">
      <c r="A114" s="1" t="s">
        <v>121</v>
      </c>
      <c r="B114">
        <v>-69.2</v>
      </c>
      <c r="C114" t="s">
        <v>121</v>
      </c>
      <c r="D114">
        <v>-92.054500000000004</v>
      </c>
      <c r="E114">
        <v>-71.322999999999993</v>
      </c>
      <c r="F114">
        <v>-79.035600000000002</v>
      </c>
      <c r="G114">
        <v>-85.501300000000001</v>
      </c>
      <c r="H114">
        <v>-57.603000000000002</v>
      </c>
      <c r="I114">
        <v>-80.990899999999996</v>
      </c>
      <c r="J114">
        <v>-68.877200000000002</v>
      </c>
      <c r="K114">
        <v>-23.879100000000001</v>
      </c>
    </row>
    <row r="115" spans="1:11" x14ac:dyDescent="0.35">
      <c r="A115" s="1" t="s">
        <v>122</v>
      </c>
      <c r="B115">
        <v>-74.900000000000006</v>
      </c>
      <c r="C115" t="s">
        <v>122</v>
      </c>
      <c r="D115">
        <v>-94.661799999999999</v>
      </c>
      <c r="E115">
        <v>-73.987499999999997</v>
      </c>
      <c r="F115">
        <v>-82.686999999999998</v>
      </c>
      <c r="G115">
        <v>-89.034599999999998</v>
      </c>
      <c r="H115">
        <v>-58.151000000000003</v>
      </c>
      <c r="I115">
        <v>-90.315799999999996</v>
      </c>
      <c r="J115">
        <v>-72.477199999999996</v>
      </c>
      <c r="K115">
        <v>-28.2212</v>
      </c>
    </row>
    <row r="116" spans="1:11" x14ac:dyDescent="0.35">
      <c r="A116" s="1" t="s">
        <v>123</v>
      </c>
      <c r="B116">
        <v>-75.900000000000006</v>
      </c>
      <c r="C116" t="s">
        <v>123</v>
      </c>
      <c r="D116">
        <v>-100.7161</v>
      </c>
      <c r="E116">
        <v>-80.583799999999997</v>
      </c>
      <c r="F116">
        <v>-90.3005</v>
      </c>
      <c r="G116">
        <v>-96.2517</v>
      </c>
      <c r="H116">
        <v>-62.6524</v>
      </c>
      <c r="I116">
        <v>-90.050799999999995</v>
      </c>
      <c r="J116">
        <v>-78.645799999999994</v>
      </c>
      <c r="K116">
        <v>-36.721600000000002</v>
      </c>
    </row>
    <row r="117" spans="1:11" x14ac:dyDescent="0.35">
      <c r="A117" s="1" t="s">
        <v>124</v>
      </c>
      <c r="B117">
        <v>-73.400000000000006</v>
      </c>
      <c r="C117" t="s">
        <v>124</v>
      </c>
      <c r="D117">
        <v>-100.7794</v>
      </c>
      <c r="E117">
        <v>-80.372299999999996</v>
      </c>
      <c r="F117">
        <v>-89.629900000000006</v>
      </c>
      <c r="G117">
        <v>-97.039500000000004</v>
      </c>
      <c r="H117">
        <v>-64.324200000000005</v>
      </c>
      <c r="I117">
        <v>-88.570300000000003</v>
      </c>
      <c r="J117">
        <v>-78.929400000000001</v>
      </c>
      <c r="K117">
        <v>-34.904299999999999</v>
      </c>
    </row>
    <row r="118" spans="1:11" x14ac:dyDescent="0.35">
      <c r="A118" s="1" t="s">
        <v>125</v>
      </c>
      <c r="B118">
        <v>-73.900000000000006</v>
      </c>
      <c r="C118" t="s">
        <v>125</v>
      </c>
      <c r="D118">
        <v>-97.980900000000005</v>
      </c>
      <c r="E118">
        <v>-77.874799999999993</v>
      </c>
      <c r="F118">
        <v>-86.630300000000005</v>
      </c>
      <c r="G118">
        <v>-93.432900000000004</v>
      </c>
      <c r="H118">
        <v>-63.035200000000003</v>
      </c>
      <c r="I118">
        <v>-84.609200000000001</v>
      </c>
      <c r="J118">
        <v>-75.347800000000007</v>
      </c>
      <c r="K118">
        <v>-31.9666</v>
      </c>
    </row>
    <row r="119" spans="1:11" x14ac:dyDescent="0.35">
      <c r="A119" s="1" t="s">
        <v>126</v>
      </c>
      <c r="B119">
        <v>-73.400000000000006</v>
      </c>
      <c r="C119" t="s">
        <v>126</v>
      </c>
      <c r="D119">
        <v>-96.155900000000003</v>
      </c>
      <c r="E119">
        <v>-75.706400000000002</v>
      </c>
      <c r="F119">
        <v>-84.104699999999994</v>
      </c>
      <c r="G119">
        <v>-90.331999999999994</v>
      </c>
      <c r="H119">
        <v>-60.424300000000002</v>
      </c>
      <c r="I119">
        <v>-89.016499999999994</v>
      </c>
      <c r="J119">
        <v>-72.404300000000006</v>
      </c>
      <c r="K119">
        <v>-27.805099999999999</v>
      </c>
    </row>
    <row r="120" spans="1:11" x14ac:dyDescent="0.35">
      <c r="A120" s="1" t="s">
        <v>127</v>
      </c>
      <c r="B120">
        <v>-70.8</v>
      </c>
      <c r="C120" t="s">
        <v>127</v>
      </c>
      <c r="D120">
        <v>-96.702500000000001</v>
      </c>
      <c r="E120">
        <v>-76.484499999999997</v>
      </c>
      <c r="F120">
        <v>-84.955799999999996</v>
      </c>
      <c r="G120">
        <v>-92.058499999999995</v>
      </c>
      <c r="H120">
        <v>-61.263500000000001</v>
      </c>
      <c r="I120">
        <v>-88.241</v>
      </c>
      <c r="J120">
        <v>-73.711600000000004</v>
      </c>
      <c r="K120">
        <v>-28.8307</v>
      </c>
    </row>
    <row r="121" spans="1:11" x14ac:dyDescent="0.35">
      <c r="A121" s="1" t="s">
        <v>128</v>
      </c>
      <c r="B121">
        <v>-74.900000000000006</v>
      </c>
      <c r="C121" t="s">
        <v>128</v>
      </c>
      <c r="D121">
        <v>-98.96</v>
      </c>
      <c r="E121">
        <v>-78.343000000000004</v>
      </c>
      <c r="F121">
        <v>-87.233699999999999</v>
      </c>
      <c r="G121">
        <v>-94.462400000000002</v>
      </c>
      <c r="H121">
        <v>-62.2211</v>
      </c>
      <c r="I121">
        <v>-97.209699999999998</v>
      </c>
      <c r="J121">
        <v>-75.592100000000002</v>
      </c>
      <c r="K121">
        <v>-30.305299999999999</v>
      </c>
    </row>
    <row r="122" spans="1:11" x14ac:dyDescent="0.35">
      <c r="A122" s="1" t="s">
        <v>129</v>
      </c>
      <c r="B122">
        <v>-72.900000000000006</v>
      </c>
      <c r="C122" t="s">
        <v>129</v>
      </c>
      <c r="D122">
        <v>-101.4661</v>
      </c>
      <c r="E122">
        <v>-80.383399999999995</v>
      </c>
      <c r="F122">
        <v>-89.528499999999994</v>
      </c>
      <c r="G122">
        <v>-95.970200000000006</v>
      </c>
      <c r="H122">
        <v>-64.134699999999995</v>
      </c>
      <c r="I122">
        <v>-90.873800000000003</v>
      </c>
      <c r="J122">
        <v>-78.927199999999999</v>
      </c>
      <c r="K122">
        <v>-33.474600000000002</v>
      </c>
    </row>
    <row r="123" spans="1:11" x14ac:dyDescent="0.35">
      <c r="A123" s="1" t="s">
        <v>130</v>
      </c>
      <c r="B123">
        <v>-74.900000000000006</v>
      </c>
      <c r="C123" t="s">
        <v>130</v>
      </c>
      <c r="D123">
        <v>-97.322100000000006</v>
      </c>
      <c r="E123">
        <v>-76.557199999999995</v>
      </c>
      <c r="F123">
        <v>-84.974599999999995</v>
      </c>
      <c r="G123">
        <v>-92.516900000000007</v>
      </c>
      <c r="H123">
        <v>-61.530500000000004</v>
      </c>
      <c r="I123">
        <v>-86.893799999999999</v>
      </c>
      <c r="J123">
        <v>-74.762200000000007</v>
      </c>
      <c r="K123">
        <v>-29.0505</v>
      </c>
    </row>
    <row r="124" spans="1:11" x14ac:dyDescent="0.35">
      <c r="A124" s="1" t="s">
        <v>131</v>
      </c>
      <c r="B124">
        <v>-67.400000000000006</v>
      </c>
      <c r="C124" t="s">
        <v>131</v>
      </c>
      <c r="D124">
        <v>-98.682199999999995</v>
      </c>
      <c r="E124">
        <v>-77.823400000000007</v>
      </c>
      <c r="F124">
        <v>-86.391099999999994</v>
      </c>
      <c r="G124">
        <v>-92.380799999999994</v>
      </c>
      <c r="H124">
        <v>-62.804200000000002</v>
      </c>
      <c r="I124">
        <v>-87.862399999999994</v>
      </c>
      <c r="J124">
        <v>-74.3904</v>
      </c>
      <c r="K124">
        <v>-27.2988</v>
      </c>
    </row>
  </sheetData>
  <conditionalFormatting sqref="M3:M62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5"/>
  <sheetViews>
    <sheetView topLeftCell="A91" workbookViewId="0">
      <selection activeCell="K3" sqref="K3:L125"/>
    </sheetView>
  </sheetViews>
  <sheetFormatPr defaultRowHeight="14.5" x14ac:dyDescent="0.35"/>
  <cols>
    <col min="1" max="1" width="11.453125" bestFit="1" customWidth="1"/>
    <col min="2" max="4" width="12.26953125" bestFit="1" customWidth="1"/>
    <col min="6" max="7" width="12.26953125" bestFit="1" customWidth="1"/>
    <col min="8" max="9" width="13.26953125" bestFit="1" customWidth="1"/>
  </cols>
  <sheetData>
    <row r="1" spans="1:21" x14ac:dyDescent="0.35">
      <c r="B1" t="s">
        <v>188</v>
      </c>
      <c r="M1" t="s">
        <v>184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0</v>
      </c>
      <c r="M2" t="s">
        <v>142</v>
      </c>
      <c r="N2" t="s">
        <v>143</v>
      </c>
      <c r="O2" t="s">
        <v>144</v>
      </c>
      <c r="P2" t="s">
        <v>146</v>
      </c>
      <c r="Q2" t="s">
        <v>147</v>
      </c>
      <c r="R2" t="s">
        <v>145</v>
      </c>
      <c r="S2" t="s">
        <v>148</v>
      </c>
      <c r="T2" t="s">
        <v>149</v>
      </c>
      <c r="U2" t="s">
        <v>150</v>
      </c>
    </row>
    <row r="3" spans="1:21" x14ac:dyDescent="0.35">
      <c r="A3" t="s">
        <v>9</v>
      </c>
      <c r="B3">
        <v>-98.091099999999997</v>
      </c>
      <c r="C3">
        <v>-79.341200000000001</v>
      </c>
      <c r="D3">
        <v>-88.790499999999994</v>
      </c>
      <c r="E3">
        <v>-94.537300000000002</v>
      </c>
      <c r="F3">
        <v>-63.527000000000001</v>
      </c>
      <c r="G3">
        <v>-95.409599999999998</v>
      </c>
      <c r="H3">
        <v>-78.686800000000005</v>
      </c>
      <c r="I3">
        <v>-42.158099999999997</v>
      </c>
      <c r="K3" s="1" t="s">
        <v>9</v>
      </c>
      <c r="L3" s="2">
        <f>-80.6</f>
        <v>-80.599999999999994</v>
      </c>
      <c r="M3">
        <v>-101.1224</v>
      </c>
      <c r="N3">
        <v>-82.084500000000006</v>
      </c>
      <c r="O3">
        <v>-91.825999999999993</v>
      </c>
      <c r="P3">
        <v>-65.549899999999994</v>
      </c>
      <c r="Q3">
        <v>-98.917199999999994</v>
      </c>
      <c r="R3">
        <v>-97.121200000000002</v>
      </c>
      <c r="S3">
        <v>-98.917199999999994</v>
      </c>
      <c r="T3">
        <v>-81.674999999999997</v>
      </c>
      <c r="U3">
        <v>-45.147599999999997</v>
      </c>
    </row>
    <row r="4" spans="1:21" x14ac:dyDescent="0.35">
      <c r="A4" t="s">
        <v>10</v>
      </c>
      <c r="B4">
        <v>-100.2123</v>
      </c>
      <c r="C4">
        <v>-79.875399999999999</v>
      </c>
      <c r="D4">
        <v>-89.606999999999999</v>
      </c>
      <c r="E4">
        <v>-97.8767</v>
      </c>
      <c r="F4">
        <v>-63.858800000000002</v>
      </c>
      <c r="G4">
        <v>-101.9927</v>
      </c>
      <c r="H4">
        <v>-77.720699999999994</v>
      </c>
      <c r="I4">
        <v>-36.593499999999999</v>
      </c>
      <c r="K4" s="1" t="s">
        <v>10</v>
      </c>
      <c r="L4">
        <v>-75.3</v>
      </c>
      <c r="M4">
        <v>-104.86150000000001</v>
      </c>
      <c r="N4">
        <v>-83.860399999999998</v>
      </c>
      <c r="O4">
        <v>-94.103499999999997</v>
      </c>
      <c r="P4">
        <v>-67.243099999999998</v>
      </c>
      <c r="Q4">
        <v>-103.9739</v>
      </c>
      <c r="R4">
        <v>-103.2186</v>
      </c>
      <c r="S4">
        <v>-103.9739</v>
      </c>
      <c r="T4">
        <v>-82.843800000000002</v>
      </c>
      <c r="U4">
        <v>-41.757599999999996</v>
      </c>
    </row>
    <row r="5" spans="1:21" x14ac:dyDescent="0.35">
      <c r="A5" t="s">
        <v>11</v>
      </c>
      <c r="B5">
        <v>-81.783299999999997</v>
      </c>
      <c r="C5">
        <v>-64.880300000000005</v>
      </c>
      <c r="D5">
        <v>-72.269800000000004</v>
      </c>
      <c r="E5">
        <v>-77.012500000000003</v>
      </c>
      <c r="F5">
        <v>-51.633800000000001</v>
      </c>
      <c r="G5">
        <v>-77.320700000000002</v>
      </c>
      <c r="H5">
        <v>-65.553299999999993</v>
      </c>
      <c r="I5">
        <v>-30.9269</v>
      </c>
      <c r="K5" s="1" t="s">
        <v>11</v>
      </c>
      <c r="L5">
        <v>-57.2</v>
      </c>
      <c r="M5">
        <v>-91.380499999999998</v>
      </c>
      <c r="N5">
        <v>-73.631699999999995</v>
      </c>
      <c r="O5">
        <v>-82.380300000000005</v>
      </c>
      <c r="P5">
        <v>-59.091799999999999</v>
      </c>
      <c r="Q5">
        <v>-87.845299999999995</v>
      </c>
      <c r="R5">
        <v>-87.994799999999998</v>
      </c>
      <c r="S5">
        <v>-87.845299999999995</v>
      </c>
      <c r="T5">
        <v>-75.83</v>
      </c>
      <c r="U5">
        <v>-41.775599999999997</v>
      </c>
    </row>
    <row r="6" spans="1:21" x14ac:dyDescent="0.35">
      <c r="A6" t="s">
        <v>12</v>
      </c>
      <c r="B6">
        <v>-107.5219</v>
      </c>
      <c r="C6">
        <v>-86.539100000000005</v>
      </c>
      <c r="D6">
        <v>-96.973500000000001</v>
      </c>
      <c r="E6">
        <v>-103.30629999999999</v>
      </c>
      <c r="F6">
        <v>-68.428399999999996</v>
      </c>
      <c r="G6">
        <v>-105.7307</v>
      </c>
      <c r="H6">
        <v>-84.47</v>
      </c>
      <c r="I6">
        <v>-42.170400000000001</v>
      </c>
      <c r="K6" s="1" t="s">
        <v>12</v>
      </c>
      <c r="L6">
        <v>-72.599999999999994</v>
      </c>
      <c r="M6">
        <v>-110.5685</v>
      </c>
      <c r="N6">
        <v>-89.449799999999996</v>
      </c>
      <c r="O6">
        <v>-100.4529</v>
      </c>
      <c r="P6">
        <v>-71.500100000000003</v>
      </c>
      <c r="Q6">
        <v>-106.0294</v>
      </c>
      <c r="R6">
        <v>-107.14109999999999</v>
      </c>
      <c r="S6">
        <v>-106.0294</v>
      </c>
      <c r="T6">
        <v>-87.945800000000006</v>
      </c>
      <c r="U6">
        <v>-47.261200000000002</v>
      </c>
    </row>
    <row r="7" spans="1:21" x14ac:dyDescent="0.35">
      <c r="A7" t="s">
        <v>13</v>
      </c>
      <c r="B7">
        <v>-68.399900000000002</v>
      </c>
      <c r="C7">
        <v>-52.745800000000003</v>
      </c>
      <c r="D7">
        <v>-58.507599999999996</v>
      </c>
      <c r="E7">
        <v>-65.863900000000001</v>
      </c>
      <c r="F7">
        <v>-42.474699999999999</v>
      </c>
      <c r="G7">
        <v>-44.518000000000001</v>
      </c>
      <c r="H7">
        <v>-52.5154</v>
      </c>
      <c r="I7">
        <v>-21.462800000000001</v>
      </c>
      <c r="K7" s="1" t="s">
        <v>13</v>
      </c>
      <c r="L7">
        <v>-67.3</v>
      </c>
      <c r="M7">
        <v>-92.434399999999997</v>
      </c>
      <c r="N7">
        <v>-72.057199999999995</v>
      </c>
      <c r="O7">
        <v>-79.885400000000004</v>
      </c>
      <c r="P7">
        <v>-57.592199999999998</v>
      </c>
      <c r="Q7">
        <v>-87.897599999999997</v>
      </c>
      <c r="R7">
        <v>-91.015600000000006</v>
      </c>
      <c r="S7">
        <v>-87.897599999999997</v>
      </c>
      <c r="T7">
        <v>-75.611999999999995</v>
      </c>
      <c r="U7">
        <v>-37.349899999999998</v>
      </c>
    </row>
    <row r="8" spans="1:21" x14ac:dyDescent="0.35">
      <c r="A8" t="s">
        <v>14</v>
      </c>
      <c r="B8">
        <v>-87.443100000000001</v>
      </c>
      <c r="C8">
        <v>-71.487799999999993</v>
      </c>
      <c r="D8">
        <v>-80.620500000000007</v>
      </c>
      <c r="E8">
        <v>-85.0488</v>
      </c>
      <c r="F8">
        <v>-57.274299999999997</v>
      </c>
      <c r="G8">
        <v>-87.900700000000001</v>
      </c>
      <c r="H8">
        <v>-70.826700000000002</v>
      </c>
      <c r="I8">
        <v>-37.125799999999998</v>
      </c>
      <c r="K8" s="1" t="s">
        <v>14</v>
      </c>
      <c r="L8">
        <v>-49</v>
      </c>
      <c r="M8">
        <v>-92.344499999999996</v>
      </c>
      <c r="N8">
        <v>-75.374799999999993</v>
      </c>
      <c r="O8">
        <v>-85.008799999999994</v>
      </c>
      <c r="P8">
        <v>-60.405700000000003</v>
      </c>
      <c r="Q8">
        <v>-90.490300000000005</v>
      </c>
      <c r="R8">
        <v>-89.979799999999997</v>
      </c>
      <c r="S8">
        <v>-90.490300000000005</v>
      </c>
      <c r="T8">
        <v>-77.099900000000005</v>
      </c>
      <c r="U8">
        <v>-44.057499999999997</v>
      </c>
    </row>
    <row r="9" spans="1:21" x14ac:dyDescent="0.35">
      <c r="A9" t="s">
        <v>15</v>
      </c>
      <c r="B9">
        <v>-93.251999999999995</v>
      </c>
      <c r="C9">
        <v>-72.931899999999999</v>
      </c>
      <c r="D9">
        <v>-81.118399999999994</v>
      </c>
      <c r="E9">
        <v>-89.306700000000006</v>
      </c>
      <c r="F9">
        <v>-58.946899999999999</v>
      </c>
      <c r="G9">
        <v>-87.031099999999995</v>
      </c>
      <c r="H9">
        <v>-72.223799999999997</v>
      </c>
      <c r="I9">
        <v>-31.6996</v>
      </c>
      <c r="K9" s="1" t="s">
        <v>15</v>
      </c>
      <c r="L9">
        <v>-76.900000000000006</v>
      </c>
      <c r="M9">
        <v>-100.1126</v>
      </c>
      <c r="N9">
        <v>-78.774299999999997</v>
      </c>
      <c r="O9">
        <v>-87.679599999999994</v>
      </c>
      <c r="P9">
        <v>-63.599299999999999</v>
      </c>
      <c r="Q9">
        <v>-96.723799999999997</v>
      </c>
      <c r="R9">
        <v>-97.73</v>
      </c>
      <c r="S9">
        <v>-96.723799999999997</v>
      </c>
      <c r="T9">
        <v>-79.542000000000002</v>
      </c>
      <c r="U9">
        <v>-38.128799999999998</v>
      </c>
    </row>
    <row r="10" spans="1:21" x14ac:dyDescent="0.35">
      <c r="A10" t="s">
        <v>16</v>
      </c>
      <c r="B10">
        <v>-105.50749999999999</v>
      </c>
      <c r="C10">
        <v>-84.979200000000006</v>
      </c>
      <c r="D10">
        <v>-95.685199999999995</v>
      </c>
      <c r="E10">
        <v>-103.1153</v>
      </c>
      <c r="F10">
        <v>-68.270399999999995</v>
      </c>
      <c r="G10">
        <v>-104.78619999999999</v>
      </c>
      <c r="H10">
        <v>-83.445599999999999</v>
      </c>
      <c r="I10">
        <v>-42.2547</v>
      </c>
      <c r="K10" s="1" t="s">
        <v>16</v>
      </c>
      <c r="L10">
        <v>-80.3</v>
      </c>
      <c r="M10">
        <v>-107.22799999999999</v>
      </c>
      <c r="N10">
        <v>-86.434100000000001</v>
      </c>
      <c r="O10">
        <v>-97.308000000000007</v>
      </c>
      <c r="P10">
        <v>-69.156599999999997</v>
      </c>
      <c r="Q10">
        <v>-105.71850000000001</v>
      </c>
      <c r="R10">
        <v>-104.768</v>
      </c>
      <c r="S10">
        <v>-105.71850000000001</v>
      </c>
      <c r="T10">
        <v>-85.469300000000004</v>
      </c>
      <c r="U10">
        <v>-44.337499999999999</v>
      </c>
    </row>
    <row r="11" spans="1:21" x14ac:dyDescent="0.35">
      <c r="A11" t="s">
        <v>17</v>
      </c>
      <c r="B11">
        <v>-111.1972</v>
      </c>
      <c r="C11">
        <v>-89.859499999999997</v>
      </c>
      <c r="D11">
        <v>-100.90300000000001</v>
      </c>
      <c r="E11">
        <v>-108.4949</v>
      </c>
      <c r="F11">
        <v>-71.862200000000001</v>
      </c>
      <c r="G11">
        <v>-108.26739999999999</v>
      </c>
      <c r="H11">
        <v>-88.365799999999993</v>
      </c>
      <c r="I11">
        <v>-47.137500000000003</v>
      </c>
      <c r="K11" s="1" t="s">
        <v>17</v>
      </c>
      <c r="L11">
        <v>-79.3</v>
      </c>
      <c r="M11">
        <v>-115.5664</v>
      </c>
      <c r="N11">
        <v>-93.725099999999998</v>
      </c>
      <c r="O11">
        <v>-105.3129</v>
      </c>
      <c r="P11">
        <v>-75.000399999999999</v>
      </c>
      <c r="Q11">
        <v>-112.6769</v>
      </c>
      <c r="R11">
        <v>-113.3038</v>
      </c>
      <c r="S11">
        <v>-112.6769</v>
      </c>
      <c r="T11">
        <v>-92.677400000000006</v>
      </c>
      <c r="U11">
        <v>-51.518999999999998</v>
      </c>
    </row>
    <row r="12" spans="1:21" x14ac:dyDescent="0.35">
      <c r="A12" t="s">
        <v>18</v>
      </c>
      <c r="B12">
        <v>-103.667</v>
      </c>
      <c r="C12">
        <v>-84.952399999999997</v>
      </c>
      <c r="D12">
        <v>-95.450999999999993</v>
      </c>
      <c r="E12">
        <v>-98.907899999999998</v>
      </c>
      <c r="F12">
        <v>-67.671700000000001</v>
      </c>
      <c r="G12">
        <v>-101.5877</v>
      </c>
      <c r="H12">
        <v>-83.337800000000001</v>
      </c>
      <c r="I12">
        <v>-46.495199999999997</v>
      </c>
      <c r="K12" s="1" t="s">
        <v>18</v>
      </c>
      <c r="L12">
        <v>-77.2</v>
      </c>
      <c r="M12">
        <v>-106.5261</v>
      </c>
      <c r="N12">
        <v>-87.562299999999993</v>
      </c>
      <c r="O12">
        <v>-98.378699999999995</v>
      </c>
      <c r="P12">
        <v>-69.7072</v>
      </c>
      <c r="Q12">
        <v>-103.187</v>
      </c>
      <c r="R12">
        <v>-102.01730000000001</v>
      </c>
      <c r="S12">
        <v>-103.187</v>
      </c>
      <c r="T12">
        <v>-86.216300000000004</v>
      </c>
      <c r="U12">
        <v>-49.26</v>
      </c>
    </row>
    <row r="13" spans="1:21" x14ac:dyDescent="0.35">
      <c r="A13" t="s">
        <v>19</v>
      </c>
      <c r="B13">
        <v>-105.5059</v>
      </c>
      <c r="C13">
        <v>-84.316400000000002</v>
      </c>
      <c r="D13">
        <v>-94.528199999999998</v>
      </c>
      <c r="E13">
        <v>-103.10850000000001</v>
      </c>
      <c r="F13">
        <v>-66.808400000000006</v>
      </c>
      <c r="G13">
        <v>-104.0458</v>
      </c>
      <c r="H13">
        <v>-83.163700000000006</v>
      </c>
      <c r="I13">
        <v>-42.3596</v>
      </c>
      <c r="K13" s="1" t="s">
        <v>19</v>
      </c>
      <c r="L13">
        <v>-82.4</v>
      </c>
      <c r="M13">
        <v>-110.3985</v>
      </c>
      <c r="N13">
        <v>-88.746700000000004</v>
      </c>
      <c r="O13">
        <v>-99.527699999999996</v>
      </c>
      <c r="P13">
        <v>-70.173500000000004</v>
      </c>
      <c r="Q13">
        <v>-106.256</v>
      </c>
      <c r="R13">
        <v>-106.9948</v>
      </c>
      <c r="S13">
        <v>-106.256</v>
      </c>
      <c r="T13">
        <v>-87.809399999999997</v>
      </c>
      <c r="U13">
        <v>-46.9133</v>
      </c>
    </row>
    <row r="14" spans="1:21" x14ac:dyDescent="0.35">
      <c r="A14" t="s">
        <v>20</v>
      </c>
      <c r="B14">
        <v>-79.611500000000007</v>
      </c>
      <c r="C14">
        <v>-65.243300000000005</v>
      </c>
      <c r="D14">
        <v>-73.449700000000007</v>
      </c>
      <c r="E14">
        <v>-74.548199999999994</v>
      </c>
      <c r="F14">
        <v>-50.629800000000003</v>
      </c>
      <c r="G14">
        <v>-78.552999999999997</v>
      </c>
      <c r="H14">
        <v>-64.5197</v>
      </c>
      <c r="I14">
        <v>-35.335900000000002</v>
      </c>
      <c r="K14" s="1" t="s">
        <v>20</v>
      </c>
      <c r="L14">
        <v>-51.6</v>
      </c>
      <c r="M14">
        <v>-84.390500000000003</v>
      </c>
      <c r="N14">
        <v>-69.655500000000004</v>
      </c>
      <c r="O14">
        <v>-78.456199999999995</v>
      </c>
      <c r="P14">
        <v>-54.594999999999999</v>
      </c>
      <c r="Q14">
        <v>-81.523700000000005</v>
      </c>
      <c r="R14">
        <v>-79.931799999999996</v>
      </c>
      <c r="S14">
        <v>-81.523700000000005</v>
      </c>
      <c r="T14">
        <v>-69.981499999999997</v>
      </c>
      <c r="U14">
        <v>-41.985599999999998</v>
      </c>
    </row>
    <row r="15" spans="1:21" x14ac:dyDescent="0.35">
      <c r="A15" t="s">
        <v>21</v>
      </c>
      <c r="B15">
        <v>-114.976</v>
      </c>
      <c r="C15">
        <v>-91.345299999999995</v>
      </c>
      <c r="D15">
        <v>-101.6056</v>
      </c>
      <c r="E15">
        <v>-112.0864</v>
      </c>
      <c r="F15">
        <v>-74.0197</v>
      </c>
      <c r="G15">
        <v>-112.0167</v>
      </c>
      <c r="H15">
        <v>-88.554199999999994</v>
      </c>
      <c r="I15">
        <v>-42.358800000000002</v>
      </c>
      <c r="K15" s="1" t="s">
        <v>21</v>
      </c>
      <c r="L15">
        <v>-90.8</v>
      </c>
      <c r="M15">
        <v>-118.1194</v>
      </c>
      <c r="N15">
        <v>-94.146199999999993</v>
      </c>
      <c r="O15">
        <v>-104.78019999999999</v>
      </c>
      <c r="P15">
        <v>-76.0274</v>
      </c>
      <c r="Q15">
        <v>-115.7231</v>
      </c>
      <c r="R15">
        <v>-114.8819</v>
      </c>
      <c r="S15">
        <v>-115.7231</v>
      </c>
      <c r="T15">
        <v>-91.706199999999995</v>
      </c>
      <c r="U15">
        <v>-45.607999999999997</v>
      </c>
    </row>
    <row r="16" spans="1:21" x14ac:dyDescent="0.35">
      <c r="A16" t="s">
        <v>22</v>
      </c>
      <c r="B16">
        <v>-80.125500000000002</v>
      </c>
      <c r="C16">
        <v>-65.523499999999999</v>
      </c>
      <c r="D16">
        <v>-74.010599999999997</v>
      </c>
      <c r="E16">
        <v>-76.269000000000005</v>
      </c>
      <c r="F16">
        <v>-51.481699999999996</v>
      </c>
      <c r="G16">
        <v>-77.328900000000004</v>
      </c>
      <c r="H16">
        <v>-67.049000000000007</v>
      </c>
      <c r="I16">
        <v>-37.9529</v>
      </c>
      <c r="K16" s="1" t="s">
        <v>22</v>
      </c>
      <c r="L16">
        <v>-58.5</v>
      </c>
      <c r="M16">
        <v>-86.7166</v>
      </c>
      <c r="N16">
        <v>-71.381699999999995</v>
      </c>
      <c r="O16">
        <v>-80.517300000000006</v>
      </c>
      <c r="P16">
        <v>-56.004199999999997</v>
      </c>
      <c r="Q16">
        <v>-82.995000000000005</v>
      </c>
      <c r="R16">
        <v>-83.121300000000005</v>
      </c>
      <c r="S16">
        <v>-82.995000000000005</v>
      </c>
      <c r="T16">
        <v>-73.886399999999995</v>
      </c>
      <c r="U16">
        <v>-45.302399999999999</v>
      </c>
    </row>
    <row r="17" spans="1:21" x14ac:dyDescent="0.35">
      <c r="A17" t="s">
        <v>23</v>
      </c>
      <c r="B17">
        <v>-106.3623</v>
      </c>
      <c r="C17">
        <v>-87.190600000000003</v>
      </c>
      <c r="D17">
        <v>-97.851299999999995</v>
      </c>
      <c r="E17">
        <v>-103.9676</v>
      </c>
      <c r="F17">
        <v>-70.080799999999996</v>
      </c>
      <c r="G17">
        <v>-103.9829</v>
      </c>
      <c r="H17">
        <v>-87.294499999999999</v>
      </c>
      <c r="I17">
        <v>-50.652500000000003</v>
      </c>
      <c r="K17" s="1" t="s">
        <v>23</v>
      </c>
      <c r="L17">
        <v>-70.5</v>
      </c>
      <c r="M17">
        <v>-107.01390000000001</v>
      </c>
      <c r="N17">
        <v>-87.761099999999999</v>
      </c>
      <c r="O17">
        <v>-98.510199999999998</v>
      </c>
      <c r="P17">
        <v>-70.498400000000004</v>
      </c>
      <c r="Q17">
        <v>-104.51390000000001</v>
      </c>
      <c r="R17">
        <v>-104.806</v>
      </c>
      <c r="S17">
        <v>-104.51390000000001</v>
      </c>
      <c r="T17">
        <v>-88.1755</v>
      </c>
      <c r="U17">
        <v>-51.632300000000001</v>
      </c>
    </row>
    <row r="18" spans="1:21" x14ac:dyDescent="0.35">
      <c r="A18" t="s">
        <v>24</v>
      </c>
      <c r="B18">
        <v>-88.822900000000004</v>
      </c>
      <c r="C18">
        <v>-68.416200000000003</v>
      </c>
      <c r="D18">
        <v>-75.8339</v>
      </c>
      <c r="E18">
        <v>-84.993099999999998</v>
      </c>
      <c r="F18">
        <v>-55.850999999999999</v>
      </c>
      <c r="G18">
        <v>-84.467299999999994</v>
      </c>
      <c r="H18">
        <v>-65.601100000000002</v>
      </c>
      <c r="I18">
        <v>-23.105</v>
      </c>
      <c r="K18" s="1" t="s">
        <v>24</v>
      </c>
      <c r="L18">
        <v>-66.8</v>
      </c>
      <c r="M18">
        <v>-100.3139</v>
      </c>
      <c r="N18">
        <v>-78.432400000000001</v>
      </c>
      <c r="O18">
        <v>-87.073700000000002</v>
      </c>
      <c r="P18">
        <v>-63.451799999999999</v>
      </c>
      <c r="Q18">
        <v>-96.855500000000006</v>
      </c>
      <c r="R18">
        <v>-97.348500000000001</v>
      </c>
      <c r="S18">
        <v>-96.855500000000006</v>
      </c>
      <c r="T18">
        <v>-77.988299999999995</v>
      </c>
      <c r="U18">
        <v>-35.319400000000002</v>
      </c>
    </row>
    <row r="19" spans="1:21" x14ac:dyDescent="0.35">
      <c r="A19" t="s">
        <v>25</v>
      </c>
      <c r="B19">
        <v>-104.8117</v>
      </c>
      <c r="C19">
        <v>-84.043000000000006</v>
      </c>
      <c r="D19">
        <v>-94.590199999999996</v>
      </c>
      <c r="E19">
        <v>-101.37</v>
      </c>
      <c r="F19">
        <v>-67.184399999999997</v>
      </c>
      <c r="G19">
        <v>-103.0788</v>
      </c>
      <c r="H19">
        <v>-82.867699999999999</v>
      </c>
      <c r="I19">
        <v>-41.285499999999999</v>
      </c>
      <c r="K19" s="1" t="s">
        <v>25</v>
      </c>
      <c r="L19">
        <v>-70</v>
      </c>
      <c r="M19">
        <v>-110.596</v>
      </c>
      <c r="N19">
        <v>-89.058199999999999</v>
      </c>
      <c r="O19">
        <v>-100.163</v>
      </c>
      <c r="P19">
        <v>-71.056399999999996</v>
      </c>
      <c r="Q19">
        <v>-107.9393</v>
      </c>
      <c r="R19">
        <v>-107.5759</v>
      </c>
      <c r="S19">
        <v>-107.9393</v>
      </c>
      <c r="T19">
        <v>-88.953299999999999</v>
      </c>
      <c r="U19">
        <v>-47.222299999999997</v>
      </c>
    </row>
    <row r="20" spans="1:21" x14ac:dyDescent="0.35">
      <c r="A20" t="s">
        <v>26</v>
      </c>
      <c r="B20">
        <v>-114.7136</v>
      </c>
      <c r="C20">
        <v>-93.69</v>
      </c>
      <c r="D20">
        <v>-105.8749</v>
      </c>
      <c r="E20">
        <v>-108.79049999999999</v>
      </c>
      <c r="F20">
        <v>-73.9786</v>
      </c>
      <c r="G20">
        <v>-110.0211</v>
      </c>
      <c r="H20">
        <v>-89.450100000000006</v>
      </c>
      <c r="I20">
        <v>-48.2348</v>
      </c>
      <c r="K20" s="1" t="s">
        <v>26</v>
      </c>
      <c r="L20">
        <v>-88.3</v>
      </c>
      <c r="M20">
        <v>-123.84699999999999</v>
      </c>
      <c r="N20">
        <v>-101.70959999999999</v>
      </c>
      <c r="O20">
        <v>-114.867</v>
      </c>
      <c r="P20">
        <v>-80.2834</v>
      </c>
      <c r="Q20">
        <v>-118.4853</v>
      </c>
      <c r="R20">
        <v>-118.7705</v>
      </c>
      <c r="S20">
        <v>-118.4853</v>
      </c>
      <c r="T20">
        <v>-99.162099999999995</v>
      </c>
      <c r="U20">
        <v>-57.426000000000002</v>
      </c>
    </row>
    <row r="21" spans="1:21" x14ac:dyDescent="0.35">
      <c r="A21" t="s">
        <v>27</v>
      </c>
      <c r="B21">
        <v>-180.86330000000001</v>
      </c>
      <c r="C21">
        <v>-142.4486</v>
      </c>
      <c r="D21">
        <v>-159.4563</v>
      </c>
      <c r="E21">
        <v>-173.7722</v>
      </c>
      <c r="F21">
        <v>-116.1074</v>
      </c>
      <c r="G21">
        <v>-179.57060000000001</v>
      </c>
      <c r="H21">
        <v>-119.1949</v>
      </c>
      <c r="I21">
        <v>-39.656700000000001</v>
      </c>
      <c r="K21" s="1" t="s">
        <v>27</v>
      </c>
      <c r="L21">
        <v>-128.30000000000001</v>
      </c>
      <c r="M21">
        <v>-188.5829</v>
      </c>
      <c r="N21">
        <v>-148.6003</v>
      </c>
      <c r="O21">
        <v>-166.24100000000001</v>
      </c>
      <c r="P21">
        <v>-121.11150000000001</v>
      </c>
      <c r="Q21">
        <v>-187.5565</v>
      </c>
      <c r="R21">
        <v>-183.40469999999999</v>
      </c>
      <c r="S21">
        <v>-187.5565</v>
      </c>
      <c r="T21">
        <v>-126.9817</v>
      </c>
      <c r="U21">
        <v>-47.178600000000003</v>
      </c>
    </row>
    <row r="22" spans="1:21" x14ac:dyDescent="0.35">
      <c r="A22" t="s">
        <v>28</v>
      </c>
      <c r="B22">
        <v>-181.35589999999999</v>
      </c>
      <c r="C22">
        <v>-142.4907</v>
      </c>
      <c r="D22">
        <v>-159.33099999999999</v>
      </c>
      <c r="E22">
        <v>-175.89830000000001</v>
      </c>
      <c r="F22">
        <v>-115.9834</v>
      </c>
      <c r="G22">
        <v>-180.77539999999999</v>
      </c>
      <c r="H22">
        <v>-120.5968</v>
      </c>
      <c r="I22">
        <v>-41.840499999999999</v>
      </c>
      <c r="K22" s="1" t="s">
        <v>28</v>
      </c>
      <c r="L22">
        <v>-136.80000000000001</v>
      </c>
      <c r="M22">
        <v>-189.47300000000001</v>
      </c>
      <c r="N22">
        <v>-149.43270000000001</v>
      </c>
      <c r="O22">
        <v>-167.1086</v>
      </c>
      <c r="P22">
        <v>-121.4834</v>
      </c>
      <c r="Q22">
        <v>-188.5489</v>
      </c>
      <c r="R22">
        <v>-184.6164</v>
      </c>
      <c r="S22">
        <v>-188.5489</v>
      </c>
      <c r="T22">
        <v>-128.87989999999999</v>
      </c>
      <c r="U22">
        <v>-49.059100000000001</v>
      </c>
    </row>
    <row r="23" spans="1:21" x14ac:dyDescent="0.35">
      <c r="A23" t="s">
        <v>29</v>
      </c>
      <c r="B23">
        <v>-94.539199999999994</v>
      </c>
      <c r="C23">
        <v>-74.236099999999993</v>
      </c>
      <c r="D23">
        <v>-83.081599999999995</v>
      </c>
      <c r="E23">
        <v>-89.414699999999996</v>
      </c>
      <c r="F23">
        <v>-60.16</v>
      </c>
      <c r="G23">
        <v>-92.104200000000006</v>
      </c>
      <c r="H23">
        <v>-71.318200000000004</v>
      </c>
      <c r="I23">
        <v>-29.3843</v>
      </c>
      <c r="K23" s="1" t="s">
        <v>29</v>
      </c>
      <c r="L23">
        <v>-67</v>
      </c>
      <c r="M23">
        <v>-105.327</v>
      </c>
      <c r="N23">
        <v>-83.705699999999993</v>
      </c>
      <c r="O23">
        <v>-93.740799999999993</v>
      </c>
      <c r="P23">
        <v>-67.476900000000001</v>
      </c>
      <c r="Q23">
        <v>-102.73520000000001</v>
      </c>
      <c r="R23">
        <v>-102.8982</v>
      </c>
      <c r="S23">
        <v>-102.73520000000001</v>
      </c>
      <c r="T23">
        <v>-83.102000000000004</v>
      </c>
      <c r="U23">
        <v>-40.788499999999999</v>
      </c>
    </row>
    <row r="24" spans="1:21" x14ac:dyDescent="0.35">
      <c r="A24" t="s">
        <v>30</v>
      </c>
      <c r="B24">
        <v>-101.9789</v>
      </c>
      <c r="C24">
        <v>-81.490200000000002</v>
      </c>
      <c r="D24">
        <v>-91.448899999999995</v>
      </c>
      <c r="E24">
        <v>-97.822100000000006</v>
      </c>
      <c r="F24">
        <v>-65.315899999999999</v>
      </c>
      <c r="G24">
        <v>-93.936899999999994</v>
      </c>
      <c r="H24">
        <v>-80.933400000000006</v>
      </c>
      <c r="I24">
        <v>-39.613399999999999</v>
      </c>
      <c r="K24" s="1" t="s">
        <v>30</v>
      </c>
      <c r="L24">
        <v>-83.4</v>
      </c>
      <c r="M24">
        <v>-109.4662</v>
      </c>
      <c r="N24">
        <v>-88.342799999999997</v>
      </c>
      <c r="O24">
        <v>-99.147900000000007</v>
      </c>
      <c r="P24">
        <v>-70.698099999999997</v>
      </c>
      <c r="Q24">
        <v>-105.2479</v>
      </c>
      <c r="R24">
        <v>-106.16800000000001</v>
      </c>
      <c r="S24">
        <v>-105.2479</v>
      </c>
      <c r="T24">
        <v>-88.394300000000001</v>
      </c>
      <c r="U24">
        <v>-47.261299999999999</v>
      </c>
    </row>
    <row r="25" spans="1:21" x14ac:dyDescent="0.35">
      <c r="A25" t="s">
        <v>31</v>
      </c>
      <c r="B25">
        <v>-101.8994</v>
      </c>
      <c r="C25">
        <v>-81.209999999999994</v>
      </c>
      <c r="D25">
        <v>-90.826099999999997</v>
      </c>
      <c r="E25">
        <v>-99.26</v>
      </c>
      <c r="F25">
        <v>-65.314700000000002</v>
      </c>
      <c r="G25">
        <v>-102.3591</v>
      </c>
      <c r="H25">
        <v>-80.865600000000001</v>
      </c>
      <c r="I25">
        <v>-37.989100000000001</v>
      </c>
      <c r="K25" s="1" t="s">
        <v>31</v>
      </c>
      <c r="L25">
        <v>-71.099999999999994</v>
      </c>
      <c r="M25">
        <v>-106.3933</v>
      </c>
      <c r="N25">
        <v>-85.517600000000002</v>
      </c>
      <c r="O25">
        <v>-95.8262</v>
      </c>
      <c r="P25">
        <v>-69.209699999999998</v>
      </c>
      <c r="Q25">
        <v>-106.0701</v>
      </c>
      <c r="R25">
        <v>-104.4393</v>
      </c>
      <c r="S25">
        <v>-106.0701</v>
      </c>
      <c r="T25">
        <v>-85.751599999999996</v>
      </c>
      <c r="U25">
        <v>-44.008099999999999</v>
      </c>
    </row>
    <row r="26" spans="1:21" x14ac:dyDescent="0.35">
      <c r="A26" t="s">
        <v>32</v>
      </c>
      <c r="B26">
        <v>-101.7409</v>
      </c>
      <c r="C26">
        <v>-81.003600000000006</v>
      </c>
      <c r="D26">
        <v>-90.6995</v>
      </c>
      <c r="E26">
        <v>-96.907499999999999</v>
      </c>
      <c r="F26">
        <v>-65.302400000000006</v>
      </c>
      <c r="G26">
        <v>-100.01139999999999</v>
      </c>
      <c r="H26">
        <v>-79.433300000000003</v>
      </c>
      <c r="I26">
        <v>-36.338000000000001</v>
      </c>
      <c r="K26" s="1" t="s">
        <v>32</v>
      </c>
      <c r="L26">
        <v>-74.2</v>
      </c>
      <c r="M26">
        <v>-109.9662</v>
      </c>
      <c r="N26">
        <v>-88.517200000000003</v>
      </c>
      <c r="O26">
        <v>-99.030500000000004</v>
      </c>
      <c r="P26">
        <v>-71.697800000000001</v>
      </c>
      <c r="Q26">
        <v>-107.3716</v>
      </c>
      <c r="R26">
        <v>-106.3258</v>
      </c>
      <c r="S26">
        <v>-107.3716</v>
      </c>
      <c r="T26">
        <v>-88.509500000000003</v>
      </c>
      <c r="U26">
        <v>-46.398600000000002</v>
      </c>
    </row>
    <row r="27" spans="1:21" x14ac:dyDescent="0.35">
      <c r="A27" t="s">
        <v>33</v>
      </c>
      <c r="B27">
        <v>-101.5902</v>
      </c>
      <c r="C27">
        <v>-81.490899999999996</v>
      </c>
      <c r="D27">
        <v>-91.400400000000005</v>
      </c>
      <c r="E27">
        <v>-99.006500000000003</v>
      </c>
      <c r="F27">
        <v>-65.258899999999997</v>
      </c>
      <c r="G27">
        <v>-98.132499999999993</v>
      </c>
      <c r="H27">
        <v>-79.714799999999997</v>
      </c>
      <c r="I27">
        <v>-38.799199999999999</v>
      </c>
      <c r="K27" s="1" t="s">
        <v>33</v>
      </c>
      <c r="L27">
        <v>-77.400000000000006</v>
      </c>
      <c r="M27">
        <v>-106.16589999999999</v>
      </c>
      <c r="N27">
        <v>-85.3245</v>
      </c>
      <c r="O27">
        <v>-95.626800000000003</v>
      </c>
      <c r="P27">
        <v>-68.483599999999996</v>
      </c>
      <c r="Q27">
        <v>-100.3263</v>
      </c>
      <c r="R27">
        <v>-103.8779</v>
      </c>
      <c r="S27">
        <v>-100.3263</v>
      </c>
      <c r="T27">
        <v>-84.470600000000005</v>
      </c>
      <c r="U27">
        <v>-43.515099999999997</v>
      </c>
    </row>
    <row r="28" spans="1:21" x14ac:dyDescent="0.35">
      <c r="A28" t="s">
        <v>34</v>
      </c>
      <c r="B28">
        <v>-99.048000000000002</v>
      </c>
      <c r="C28">
        <v>-78.9893</v>
      </c>
      <c r="D28">
        <v>-88.521500000000003</v>
      </c>
      <c r="E28">
        <v>-97.116900000000001</v>
      </c>
      <c r="F28">
        <v>-63.519399999999997</v>
      </c>
      <c r="G28">
        <v>-88.218699999999998</v>
      </c>
      <c r="H28">
        <v>-77.476299999999995</v>
      </c>
      <c r="I28">
        <v>-36.518500000000003</v>
      </c>
      <c r="K28" s="1" t="s">
        <v>34</v>
      </c>
      <c r="L28">
        <v>-72.8</v>
      </c>
      <c r="M28">
        <v>-105.1109</v>
      </c>
      <c r="N28">
        <v>-84.305099999999996</v>
      </c>
      <c r="O28">
        <v>-94.565100000000001</v>
      </c>
      <c r="P28">
        <v>-67.890299999999996</v>
      </c>
      <c r="Q28">
        <v>-95.136600000000001</v>
      </c>
      <c r="R28">
        <v>-103.72839999999999</v>
      </c>
      <c r="S28">
        <v>-95.136600000000001</v>
      </c>
      <c r="T28">
        <v>-84.042199999999994</v>
      </c>
      <c r="U28">
        <v>-43.410899999999998</v>
      </c>
    </row>
    <row r="29" spans="1:21" x14ac:dyDescent="0.35">
      <c r="A29" t="s">
        <v>35</v>
      </c>
      <c r="B29">
        <v>-95.720200000000006</v>
      </c>
      <c r="C29">
        <v>-76.243600000000001</v>
      </c>
      <c r="D29">
        <v>-85.644000000000005</v>
      </c>
      <c r="E29">
        <v>-92.846000000000004</v>
      </c>
      <c r="F29">
        <v>-61.599200000000003</v>
      </c>
      <c r="G29">
        <v>-84.331400000000002</v>
      </c>
      <c r="H29">
        <v>-74.275800000000004</v>
      </c>
      <c r="I29">
        <v>-33.111499999999999</v>
      </c>
      <c r="K29" s="1" t="s">
        <v>35</v>
      </c>
      <c r="L29">
        <v>-72.3</v>
      </c>
      <c r="M29">
        <v>-106.31780000000001</v>
      </c>
      <c r="N29">
        <v>-85.621200000000002</v>
      </c>
      <c r="O29">
        <v>-96.204599999999999</v>
      </c>
      <c r="P29">
        <v>-68.915300000000002</v>
      </c>
      <c r="Q29">
        <v>-96.772400000000005</v>
      </c>
      <c r="R29">
        <v>-104.6322</v>
      </c>
      <c r="S29">
        <v>-96.772400000000005</v>
      </c>
      <c r="T29">
        <v>-85.490099999999998</v>
      </c>
      <c r="U29">
        <v>-44.6434</v>
      </c>
    </row>
    <row r="30" spans="1:21" x14ac:dyDescent="0.35">
      <c r="A30" t="s">
        <v>36</v>
      </c>
      <c r="B30">
        <v>-101.0308</v>
      </c>
      <c r="C30">
        <v>-80.723699999999994</v>
      </c>
      <c r="D30">
        <v>-90.516099999999994</v>
      </c>
      <c r="E30">
        <v>-97.306799999999996</v>
      </c>
      <c r="F30">
        <v>-65.061400000000006</v>
      </c>
      <c r="G30">
        <v>-98.120199999999997</v>
      </c>
      <c r="H30">
        <v>-78.502300000000005</v>
      </c>
      <c r="I30">
        <v>-36.864800000000002</v>
      </c>
      <c r="K30" s="1"/>
    </row>
    <row r="31" spans="1:21" x14ac:dyDescent="0.35">
      <c r="A31" t="s">
        <v>37</v>
      </c>
      <c r="B31">
        <v>-85.318899999999999</v>
      </c>
      <c r="C31">
        <v>-67.773200000000003</v>
      </c>
      <c r="D31">
        <v>-75.426599999999993</v>
      </c>
      <c r="E31">
        <v>-79.921599999999998</v>
      </c>
      <c r="F31">
        <v>-53.692999999999998</v>
      </c>
      <c r="G31">
        <v>-77.804400000000001</v>
      </c>
      <c r="H31">
        <v>-68.678899999999999</v>
      </c>
      <c r="I31">
        <v>-33.126199999999997</v>
      </c>
      <c r="K31" s="1" t="s">
        <v>37</v>
      </c>
      <c r="L31">
        <v>-58.1</v>
      </c>
      <c r="M31">
        <v>-91.482799999999997</v>
      </c>
      <c r="N31">
        <v>-73.895200000000003</v>
      </c>
      <c r="O31">
        <v>-82.745400000000004</v>
      </c>
      <c r="P31">
        <v>-59.391500000000001</v>
      </c>
      <c r="Q31">
        <v>-84.618099999999998</v>
      </c>
      <c r="R31">
        <v>-87.846900000000005</v>
      </c>
      <c r="S31">
        <v>-84.618099999999998</v>
      </c>
      <c r="T31">
        <v>-76.507400000000004</v>
      </c>
      <c r="U31">
        <v>-43.024000000000001</v>
      </c>
    </row>
    <row r="32" spans="1:21" x14ac:dyDescent="0.35">
      <c r="A32" t="s">
        <v>38</v>
      </c>
      <c r="B32">
        <v>-82.772900000000007</v>
      </c>
      <c r="C32">
        <v>-66.063199999999995</v>
      </c>
      <c r="D32">
        <v>-73.704499999999996</v>
      </c>
      <c r="E32">
        <v>-77.7684</v>
      </c>
      <c r="F32">
        <v>-53.138199999999998</v>
      </c>
      <c r="G32">
        <v>-72.113100000000003</v>
      </c>
      <c r="H32">
        <v>-66.9953</v>
      </c>
      <c r="I32">
        <v>-33.156300000000002</v>
      </c>
      <c r="K32" s="1" t="s">
        <v>38</v>
      </c>
      <c r="L32">
        <v>-57.4</v>
      </c>
      <c r="M32">
        <v>-91.555899999999994</v>
      </c>
      <c r="N32">
        <v>-73.982900000000001</v>
      </c>
      <c r="O32">
        <v>-82.800600000000003</v>
      </c>
      <c r="P32">
        <v>-59.721800000000002</v>
      </c>
      <c r="Q32">
        <v>-81.029600000000002</v>
      </c>
      <c r="R32">
        <v>-88.715900000000005</v>
      </c>
      <c r="S32">
        <v>-81.029600000000002</v>
      </c>
      <c r="T32">
        <v>-76.981399999999994</v>
      </c>
      <c r="U32">
        <v>-43.344499999999996</v>
      </c>
    </row>
    <row r="33" spans="1:21" x14ac:dyDescent="0.35">
      <c r="A33" t="s">
        <v>39</v>
      </c>
      <c r="B33">
        <v>-85.149900000000002</v>
      </c>
      <c r="C33">
        <v>-67.753399999999999</v>
      </c>
      <c r="D33">
        <v>-75.104399999999998</v>
      </c>
      <c r="E33">
        <v>-78.998599999999996</v>
      </c>
      <c r="F33">
        <v>-54.308399999999999</v>
      </c>
      <c r="G33">
        <v>-71.717200000000005</v>
      </c>
      <c r="H33">
        <v>-68.660300000000007</v>
      </c>
      <c r="I33">
        <v>-32.580399999999997</v>
      </c>
      <c r="K33" s="1" t="s">
        <v>39</v>
      </c>
      <c r="L33">
        <v>-63</v>
      </c>
      <c r="M33">
        <v>-91.924000000000007</v>
      </c>
      <c r="N33">
        <v>-74.370500000000007</v>
      </c>
      <c r="O33">
        <v>-83.139600000000002</v>
      </c>
      <c r="P33">
        <v>-60.052399999999999</v>
      </c>
      <c r="Q33">
        <v>-80.885199999999998</v>
      </c>
      <c r="R33">
        <v>-88.405500000000004</v>
      </c>
      <c r="S33">
        <v>-80.885199999999998</v>
      </c>
      <c r="T33">
        <v>-77.093900000000005</v>
      </c>
      <c r="U33">
        <v>-43.1479</v>
      </c>
    </row>
    <row r="34" spans="1:21" x14ac:dyDescent="0.35">
      <c r="A34" t="s">
        <v>40</v>
      </c>
      <c r="B34">
        <v>-81.498999999999995</v>
      </c>
      <c r="C34">
        <v>-64.774500000000003</v>
      </c>
      <c r="D34">
        <v>-72.204499999999996</v>
      </c>
      <c r="E34">
        <v>-75.848200000000006</v>
      </c>
      <c r="F34">
        <v>-51.9373</v>
      </c>
      <c r="G34">
        <v>-72.2209</v>
      </c>
      <c r="H34">
        <v>-65.1631</v>
      </c>
      <c r="I34">
        <v>-30.799299999999999</v>
      </c>
      <c r="K34" s="1" t="s">
        <v>40</v>
      </c>
      <c r="L34">
        <v>-59.1</v>
      </c>
      <c r="M34">
        <v>-91.276200000000003</v>
      </c>
      <c r="N34">
        <v>-73.819800000000001</v>
      </c>
      <c r="O34">
        <v>-82.832899999999995</v>
      </c>
      <c r="P34">
        <v>-59.7</v>
      </c>
      <c r="Q34">
        <v>-83.337100000000007</v>
      </c>
      <c r="R34">
        <v>-87.7316</v>
      </c>
      <c r="S34">
        <v>-83.337100000000007</v>
      </c>
      <c r="T34">
        <v>-76.125299999999996</v>
      </c>
      <c r="U34">
        <v>-42.363599999999998</v>
      </c>
    </row>
    <row r="35" spans="1:21" x14ac:dyDescent="0.35">
      <c r="A35" t="s">
        <v>41</v>
      </c>
      <c r="B35">
        <v>-84.852000000000004</v>
      </c>
      <c r="C35">
        <v>-67.622799999999998</v>
      </c>
      <c r="D35">
        <v>-75.554299999999998</v>
      </c>
      <c r="E35">
        <v>-79.917299999999997</v>
      </c>
      <c r="F35">
        <v>-54.112200000000001</v>
      </c>
      <c r="G35">
        <v>-77.823899999999995</v>
      </c>
      <c r="H35">
        <v>-69.051699999999997</v>
      </c>
      <c r="I35">
        <v>-34.374400000000001</v>
      </c>
      <c r="K35" s="1" t="s">
        <v>41</v>
      </c>
      <c r="L35">
        <v>-58.9</v>
      </c>
      <c r="M35">
        <v>-92.047600000000003</v>
      </c>
      <c r="N35">
        <v>-74.425799999999995</v>
      </c>
      <c r="O35">
        <v>-83.5334</v>
      </c>
      <c r="P35">
        <v>-59.856699999999996</v>
      </c>
      <c r="Q35">
        <v>-85.571100000000001</v>
      </c>
      <c r="R35">
        <v>-88.763499999999993</v>
      </c>
      <c r="S35">
        <v>-85.571100000000001</v>
      </c>
      <c r="T35">
        <v>-76.680000000000007</v>
      </c>
      <c r="U35">
        <v>-42.795900000000003</v>
      </c>
    </row>
    <row r="36" spans="1:21" x14ac:dyDescent="0.35">
      <c r="A36" t="s">
        <v>42</v>
      </c>
      <c r="B36">
        <v>-100.34399999999999</v>
      </c>
      <c r="C36">
        <v>-80.405799999999999</v>
      </c>
      <c r="D36">
        <v>-89.928899999999999</v>
      </c>
      <c r="E36">
        <v>-95.417599999999993</v>
      </c>
      <c r="F36">
        <v>-64.541300000000007</v>
      </c>
      <c r="G36">
        <v>-88.265699999999995</v>
      </c>
      <c r="H36">
        <v>-77.617900000000006</v>
      </c>
      <c r="I36">
        <v>-37.052399999999999</v>
      </c>
      <c r="K36" s="1" t="s">
        <v>42</v>
      </c>
      <c r="L36">
        <v>-72.3</v>
      </c>
      <c r="M36">
        <v>-113.2394</v>
      </c>
      <c r="N36">
        <v>-92.164000000000001</v>
      </c>
      <c r="O36">
        <v>-103.2359</v>
      </c>
      <c r="P36">
        <v>-73.847499999999997</v>
      </c>
      <c r="Q36">
        <v>-104.07850000000001</v>
      </c>
      <c r="R36">
        <v>-109.3899</v>
      </c>
      <c r="S36">
        <v>-104.07850000000001</v>
      </c>
      <c r="T36">
        <v>-91.162199999999999</v>
      </c>
      <c r="U36">
        <v>-50.684100000000001</v>
      </c>
    </row>
    <row r="37" spans="1:21" x14ac:dyDescent="0.35">
      <c r="A37" t="s">
        <v>43</v>
      </c>
      <c r="B37">
        <v>-112.1044</v>
      </c>
      <c r="C37">
        <v>-91.094899999999996</v>
      </c>
      <c r="D37">
        <v>-101.9111</v>
      </c>
      <c r="E37">
        <v>-107.0466</v>
      </c>
      <c r="F37">
        <v>-72.643299999999996</v>
      </c>
      <c r="G37">
        <v>-102.9928</v>
      </c>
      <c r="H37">
        <v>-90.379199999999997</v>
      </c>
      <c r="I37">
        <v>-48.887500000000003</v>
      </c>
      <c r="K37" s="1" t="s">
        <v>43</v>
      </c>
      <c r="L37">
        <v>-74</v>
      </c>
      <c r="M37">
        <v>-113.11669999999999</v>
      </c>
      <c r="N37">
        <v>-92.020499999999998</v>
      </c>
      <c r="O37">
        <v>-103.0312</v>
      </c>
      <c r="P37">
        <v>-73.913399999999996</v>
      </c>
      <c r="Q37">
        <v>-103.43040000000001</v>
      </c>
      <c r="R37">
        <v>-109.6716</v>
      </c>
      <c r="S37">
        <v>-103.43040000000001</v>
      </c>
      <c r="T37">
        <v>-91.463399999999993</v>
      </c>
      <c r="U37">
        <v>-51.4711</v>
      </c>
    </row>
    <row r="38" spans="1:21" x14ac:dyDescent="0.35">
      <c r="A38" t="s">
        <v>44</v>
      </c>
      <c r="B38">
        <v>-110.3458</v>
      </c>
      <c r="C38">
        <v>-89.545500000000004</v>
      </c>
      <c r="D38">
        <v>-100.2782</v>
      </c>
      <c r="E38">
        <v>-106.3685</v>
      </c>
      <c r="F38">
        <v>-71.715500000000006</v>
      </c>
      <c r="G38">
        <v>-101.19540000000001</v>
      </c>
      <c r="H38">
        <v>-88.468800000000002</v>
      </c>
      <c r="I38">
        <v>-47.305199999999999</v>
      </c>
      <c r="K38" s="1" t="s">
        <v>44</v>
      </c>
      <c r="L38">
        <v>-75.2</v>
      </c>
      <c r="M38">
        <v>-112.7376</v>
      </c>
      <c r="N38">
        <v>-91.653899999999993</v>
      </c>
      <c r="O38">
        <v>-102.66630000000001</v>
      </c>
      <c r="P38">
        <v>-73.585999999999999</v>
      </c>
      <c r="Q38">
        <v>-101.4415</v>
      </c>
      <c r="R38">
        <v>-109.547</v>
      </c>
      <c r="S38">
        <v>-101.4415</v>
      </c>
      <c r="T38">
        <v>-90.886399999999995</v>
      </c>
      <c r="U38">
        <v>-50.656999999999996</v>
      </c>
    </row>
    <row r="39" spans="1:21" x14ac:dyDescent="0.35">
      <c r="A39" t="s">
        <v>45</v>
      </c>
      <c r="B39">
        <v>-108.2148</v>
      </c>
      <c r="C39">
        <v>-87.667199999999994</v>
      </c>
      <c r="D39">
        <v>-98.255200000000002</v>
      </c>
      <c r="E39">
        <v>-102.1626</v>
      </c>
      <c r="F39">
        <v>-69.983199999999997</v>
      </c>
      <c r="G39">
        <v>-95.532799999999995</v>
      </c>
      <c r="H39">
        <v>-85.583600000000004</v>
      </c>
      <c r="I39">
        <v>-44.523099999999999</v>
      </c>
      <c r="K39" s="1"/>
    </row>
    <row r="40" spans="1:21" x14ac:dyDescent="0.35">
      <c r="A40" t="s">
        <v>46</v>
      </c>
      <c r="B40">
        <v>-108.4366</v>
      </c>
      <c r="C40">
        <v>-87.960700000000003</v>
      </c>
      <c r="D40">
        <v>-98.604600000000005</v>
      </c>
      <c r="E40">
        <v>-103.76</v>
      </c>
      <c r="F40">
        <v>-70.363399999999999</v>
      </c>
      <c r="G40">
        <v>-102.2576</v>
      </c>
      <c r="H40">
        <v>-85.8733</v>
      </c>
      <c r="I40">
        <v>-44.633400000000002</v>
      </c>
      <c r="K40" s="1" t="s">
        <v>46</v>
      </c>
      <c r="L40">
        <v>-69.400000000000006</v>
      </c>
      <c r="M40">
        <v>-111.4676</v>
      </c>
      <c r="N40">
        <v>-90.552999999999997</v>
      </c>
      <c r="O40">
        <v>-101.65219999999999</v>
      </c>
      <c r="P40">
        <v>-72.624899999999997</v>
      </c>
      <c r="Q40">
        <v>-101.8192</v>
      </c>
      <c r="R40">
        <v>-107.2392</v>
      </c>
      <c r="S40">
        <v>-101.8192</v>
      </c>
      <c r="T40">
        <v>-89.141999999999996</v>
      </c>
      <c r="U40">
        <v>-48.712400000000002</v>
      </c>
    </row>
    <row r="41" spans="1:21" x14ac:dyDescent="0.35">
      <c r="A41" t="s">
        <v>47</v>
      </c>
      <c r="B41">
        <v>-110.12649999999999</v>
      </c>
      <c r="C41">
        <v>-89.834299999999999</v>
      </c>
      <c r="D41">
        <v>-100.99160000000001</v>
      </c>
      <c r="E41">
        <v>-106.2978</v>
      </c>
      <c r="F41">
        <v>-71.7042</v>
      </c>
      <c r="G41">
        <v>-105.8526</v>
      </c>
      <c r="H41">
        <v>-86.705299999999994</v>
      </c>
      <c r="I41">
        <v>-45.415399999999998</v>
      </c>
      <c r="K41" s="1" t="s">
        <v>47</v>
      </c>
      <c r="L41">
        <v>-72.400000000000006</v>
      </c>
      <c r="M41">
        <v>-112.08369999999999</v>
      </c>
      <c r="N41">
        <v>-91.154600000000002</v>
      </c>
      <c r="O41">
        <v>-102.56359999999999</v>
      </c>
      <c r="P41">
        <v>-72.962000000000003</v>
      </c>
      <c r="Q41">
        <v>-105.8069</v>
      </c>
      <c r="R41">
        <v>-108.7826</v>
      </c>
      <c r="S41">
        <v>-105.8069</v>
      </c>
      <c r="T41">
        <v>-90.209299999999999</v>
      </c>
      <c r="U41">
        <v>-49.626600000000003</v>
      </c>
    </row>
    <row r="42" spans="1:21" x14ac:dyDescent="0.35">
      <c r="A42" t="s">
        <v>48</v>
      </c>
      <c r="B42">
        <v>-110.86790000000001</v>
      </c>
      <c r="C42">
        <v>-89.7834</v>
      </c>
      <c r="D42">
        <v>-100.5333</v>
      </c>
      <c r="E42">
        <v>-106.4438</v>
      </c>
      <c r="F42">
        <v>-71.416700000000006</v>
      </c>
      <c r="G42">
        <v>-97.107799999999997</v>
      </c>
      <c r="H42">
        <v>-88.386499999999998</v>
      </c>
      <c r="I42">
        <v>-46.071899999999999</v>
      </c>
      <c r="K42" s="1" t="s">
        <v>48</v>
      </c>
      <c r="L42">
        <v>-71.8</v>
      </c>
      <c r="M42">
        <v>-112.1168</v>
      </c>
      <c r="N42">
        <v>-90.976500000000001</v>
      </c>
      <c r="O42">
        <v>-102.0763</v>
      </c>
      <c r="P42">
        <v>-72.819400000000002</v>
      </c>
      <c r="Q42">
        <v>-98.201800000000006</v>
      </c>
      <c r="R42">
        <v>-108.3351</v>
      </c>
      <c r="S42">
        <v>-98.201800000000006</v>
      </c>
      <c r="T42">
        <v>-89.974400000000003</v>
      </c>
      <c r="U42">
        <v>-48.985100000000003</v>
      </c>
    </row>
    <row r="43" spans="1:21" x14ac:dyDescent="0.35">
      <c r="A43" t="s">
        <v>49</v>
      </c>
      <c r="B43">
        <v>-86.711100000000002</v>
      </c>
      <c r="C43">
        <v>-67.192099999999996</v>
      </c>
      <c r="D43">
        <v>-74.3797</v>
      </c>
      <c r="E43">
        <v>-84.928399999999996</v>
      </c>
      <c r="F43">
        <v>-54.0242</v>
      </c>
      <c r="G43">
        <v>-75.182000000000002</v>
      </c>
      <c r="H43">
        <v>-70.7971</v>
      </c>
      <c r="I43">
        <v>-32.889899999999997</v>
      </c>
      <c r="K43" s="1" t="s">
        <v>49</v>
      </c>
      <c r="L43">
        <v>-61.8</v>
      </c>
      <c r="M43">
        <v>-93.330399999999997</v>
      </c>
      <c r="N43">
        <v>-73.015199999999993</v>
      </c>
      <c r="O43">
        <v>-80.998099999999994</v>
      </c>
      <c r="P43">
        <v>-58.382599999999996</v>
      </c>
      <c r="Q43">
        <v>-81.221900000000005</v>
      </c>
      <c r="R43">
        <v>-91.818100000000001</v>
      </c>
      <c r="S43">
        <v>-81.221900000000005</v>
      </c>
      <c r="T43">
        <v>-77.644599999999997</v>
      </c>
      <c r="U43">
        <v>-39.500799999999998</v>
      </c>
    </row>
    <row r="44" spans="1:21" x14ac:dyDescent="0.35">
      <c r="A44" t="s">
        <v>50</v>
      </c>
      <c r="B44">
        <v>-86.809700000000007</v>
      </c>
      <c r="C44">
        <v>-67.377200000000002</v>
      </c>
      <c r="D44">
        <v>-74.582899999999995</v>
      </c>
      <c r="E44">
        <v>-85.05</v>
      </c>
      <c r="F44">
        <v>-54.250300000000003</v>
      </c>
      <c r="G44">
        <v>-77.075400000000002</v>
      </c>
      <c r="H44">
        <v>-70.8142</v>
      </c>
      <c r="I44">
        <v>-32.987000000000002</v>
      </c>
      <c r="K44" s="1" t="s">
        <v>50</v>
      </c>
      <c r="L44">
        <v>-67.2</v>
      </c>
      <c r="M44">
        <v>-92.629400000000004</v>
      </c>
      <c r="N44">
        <v>-72.398200000000003</v>
      </c>
      <c r="O44">
        <v>-80.205299999999994</v>
      </c>
      <c r="P44">
        <v>-58.006399999999999</v>
      </c>
      <c r="Q44">
        <v>-82.170400000000001</v>
      </c>
      <c r="R44">
        <v>-90.723100000000002</v>
      </c>
      <c r="S44">
        <v>-82.170400000000001</v>
      </c>
      <c r="T44">
        <v>-76.675700000000006</v>
      </c>
      <c r="U44">
        <v>-38.330599999999997</v>
      </c>
    </row>
    <row r="45" spans="1:21" x14ac:dyDescent="0.35">
      <c r="A45" t="s">
        <v>51</v>
      </c>
      <c r="B45">
        <v>-86.307699999999997</v>
      </c>
      <c r="C45">
        <v>-66.9589</v>
      </c>
      <c r="D45">
        <v>-74.238900000000001</v>
      </c>
      <c r="E45">
        <v>-83.124399999999994</v>
      </c>
      <c r="F45">
        <v>-53.674100000000003</v>
      </c>
      <c r="G45">
        <v>-75.825500000000005</v>
      </c>
      <c r="H45">
        <v>-69.877300000000005</v>
      </c>
      <c r="I45">
        <v>-31.8977</v>
      </c>
      <c r="K45" s="1" t="s">
        <v>51</v>
      </c>
      <c r="L45">
        <v>-65.400000000000006</v>
      </c>
      <c r="M45">
        <v>-92.895600000000002</v>
      </c>
      <c r="N45">
        <v>-72.660200000000003</v>
      </c>
      <c r="O45">
        <v>-80.575299999999999</v>
      </c>
      <c r="P45">
        <v>-58.123600000000003</v>
      </c>
      <c r="Q45">
        <v>-82.491799999999998</v>
      </c>
      <c r="R45">
        <v>-90.8523</v>
      </c>
      <c r="S45">
        <v>-82.491799999999998</v>
      </c>
      <c r="T45">
        <v>-76.371200000000002</v>
      </c>
      <c r="U45">
        <v>-38.092700000000001</v>
      </c>
    </row>
    <row r="46" spans="1:21" x14ac:dyDescent="0.35">
      <c r="A46" t="s">
        <v>52</v>
      </c>
      <c r="B46">
        <v>-85.503399999999999</v>
      </c>
      <c r="C46">
        <v>-66.535300000000007</v>
      </c>
      <c r="D46">
        <v>-73.769900000000007</v>
      </c>
      <c r="E46">
        <v>-83.672499999999999</v>
      </c>
      <c r="F46">
        <v>-54.2864</v>
      </c>
      <c r="G46">
        <v>-80.355000000000004</v>
      </c>
      <c r="H46">
        <v>-69.096000000000004</v>
      </c>
      <c r="I46">
        <v>-31.239799999999999</v>
      </c>
      <c r="K46" s="1" t="s">
        <v>52</v>
      </c>
      <c r="L46">
        <v>-66.400000000000006</v>
      </c>
      <c r="M46">
        <v>-94.004599999999996</v>
      </c>
      <c r="N46">
        <v>-73.952500000000001</v>
      </c>
      <c r="O46">
        <v>-82.212699999999998</v>
      </c>
      <c r="P46">
        <v>-59.532600000000002</v>
      </c>
      <c r="Q46">
        <v>-88.121700000000004</v>
      </c>
      <c r="R46">
        <v>-92.756500000000003</v>
      </c>
      <c r="S46">
        <v>-88.121700000000004</v>
      </c>
      <c r="T46">
        <v>-78.508300000000006</v>
      </c>
      <c r="U46">
        <v>-40.517400000000002</v>
      </c>
    </row>
    <row r="47" spans="1:21" x14ac:dyDescent="0.35">
      <c r="A47" t="s">
        <v>53</v>
      </c>
      <c r="B47">
        <v>-87.664699999999996</v>
      </c>
      <c r="C47">
        <v>-72.008300000000006</v>
      </c>
      <c r="D47">
        <v>-81.089799999999997</v>
      </c>
      <c r="E47">
        <v>-84.48</v>
      </c>
      <c r="F47">
        <v>-58.241399999999999</v>
      </c>
      <c r="G47">
        <v>-79.925700000000006</v>
      </c>
      <c r="H47">
        <v>-71.404499999999999</v>
      </c>
      <c r="I47">
        <v>-37.808799999999998</v>
      </c>
      <c r="K47" s="1" t="s">
        <v>53</v>
      </c>
      <c r="L47">
        <v>-48.1</v>
      </c>
      <c r="M47">
        <v>-93.157700000000006</v>
      </c>
      <c r="N47">
        <v>-76.476799999999997</v>
      </c>
      <c r="O47">
        <v>-86.126999999999995</v>
      </c>
      <c r="P47">
        <v>-61.835099999999997</v>
      </c>
      <c r="Q47">
        <v>-84.313000000000002</v>
      </c>
      <c r="R47">
        <v>-90.099100000000007</v>
      </c>
      <c r="S47">
        <v>-84.313000000000002</v>
      </c>
      <c r="T47">
        <v>-78.171599999999998</v>
      </c>
      <c r="U47">
        <v>-45.475499999999997</v>
      </c>
    </row>
    <row r="48" spans="1:21" x14ac:dyDescent="0.35">
      <c r="A48" t="s">
        <v>54</v>
      </c>
      <c r="B48">
        <v>-87.064300000000003</v>
      </c>
      <c r="C48">
        <v>-71.4375</v>
      </c>
      <c r="D48">
        <v>-80.5762</v>
      </c>
      <c r="E48">
        <v>-83.882999999999996</v>
      </c>
      <c r="F48">
        <v>-57.555700000000002</v>
      </c>
      <c r="G48">
        <v>-75.22</v>
      </c>
      <c r="H48">
        <v>-71.308099999999996</v>
      </c>
      <c r="I48">
        <v>-37.882199999999997</v>
      </c>
      <c r="K48" s="1" t="s">
        <v>54</v>
      </c>
      <c r="L48">
        <v>-53.7</v>
      </c>
      <c r="M48">
        <v>-91.8202</v>
      </c>
      <c r="N48">
        <v>-75.105500000000006</v>
      </c>
      <c r="O48">
        <v>-84.828299999999999</v>
      </c>
      <c r="P48">
        <v>-60.112499999999997</v>
      </c>
      <c r="Q48">
        <v>-78.1995</v>
      </c>
      <c r="R48">
        <v>-89.438100000000006</v>
      </c>
      <c r="S48">
        <v>-78.1995</v>
      </c>
      <c r="T48">
        <v>-77.791600000000003</v>
      </c>
      <c r="U48">
        <v>-44.6539</v>
      </c>
    </row>
    <row r="49" spans="1:21" x14ac:dyDescent="0.35">
      <c r="A49" t="s">
        <v>55</v>
      </c>
      <c r="B49">
        <v>-87.610100000000003</v>
      </c>
      <c r="C49">
        <v>-72.109800000000007</v>
      </c>
      <c r="D49">
        <v>-81.350899999999996</v>
      </c>
      <c r="E49">
        <v>-84.478399999999993</v>
      </c>
      <c r="F49">
        <v>-58.132800000000003</v>
      </c>
      <c r="G49">
        <v>-79.536100000000005</v>
      </c>
      <c r="H49">
        <v>-71.800899999999999</v>
      </c>
      <c r="I49">
        <v>-38.4953</v>
      </c>
      <c r="K49" s="1" t="s">
        <v>55</v>
      </c>
      <c r="L49">
        <v>-53.5</v>
      </c>
      <c r="M49">
        <v>-93.502499999999998</v>
      </c>
      <c r="N49">
        <v>-76.837500000000006</v>
      </c>
      <c r="O49">
        <v>-86.665899999999993</v>
      </c>
      <c r="P49">
        <v>-61.901400000000002</v>
      </c>
      <c r="Q49">
        <v>-83.973699999999994</v>
      </c>
      <c r="R49">
        <v>-91.848200000000006</v>
      </c>
      <c r="S49">
        <v>-83.973699999999994</v>
      </c>
      <c r="T49">
        <v>-79.242000000000004</v>
      </c>
      <c r="U49">
        <v>-46.415500000000002</v>
      </c>
    </row>
    <row r="50" spans="1:21" x14ac:dyDescent="0.35">
      <c r="A50" t="s">
        <v>56</v>
      </c>
      <c r="B50">
        <v>-96.113100000000003</v>
      </c>
      <c r="C50">
        <v>-75.506900000000002</v>
      </c>
      <c r="D50">
        <v>-84.129099999999994</v>
      </c>
      <c r="E50">
        <v>-93.269599999999997</v>
      </c>
      <c r="F50">
        <v>-61.122300000000003</v>
      </c>
      <c r="G50">
        <v>-89.510999999999996</v>
      </c>
      <c r="H50">
        <v>-74.870500000000007</v>
      </c>
      <c r="I50">
        <v>-34.467700000000001</v>
      </c>
      <c r="K50" s="1" t="s">
        <v>56</v>
      </c>
      <c r="L50">
        <v>-69</v>
      </c>
      <c r="M50">
        <v>-101.1418</v>
      </c>
      <c r="N50">
        <v>-79.889499999999998</v>
      </c>
      <c r="O50">
        <v>-89.0167</v>
      </c>
      <c r="P50">
        <v>-64.727699999999999</v>
      </c>
      <c r="Q50">
        <v>-94.991100000000003</v>
      </c>
      <c r="R50">
        <v>-98.45</v>
      </c>
      <c r="S50">
        <v>-94.991100000000003</v>
      </c>
      <c r="T50">
        <v>-79.828000000000003</v>
      </c>
      <c r="U50">
        <v>-38.973999999999997</v>
      </c>
    </row>
    <row r="51" spans="1:21" x14ac:dyDescent="0.35">
      <c r="A51" t="s">
        <v>57</v>
      </c>
      <c r="B51">
        <v>-97.233999999999995</v>
      </c>
      <c r="C51">
        <v>-76.415000000000006</v>
      </c>
      <c r="D51">
        <v>-85.028800000000004</v>
      </c>
      <c r="E51">
        <v>-94.9876</v>
      </c>
      <c r="F51">
        <v>-61.927199999999999</v>
      </c>
      <c r="G51">
        <v>-87.231399999999994</v>
      </c>
      <c r="H51">
        <v>-76.536000000000001</v>
      </c>
      <c r="I51">
        <v>-35.024900000000002</v>
      </c>
      <c r="K51" s="1" t="s">
        <v>57</v>
      </c>
      <c r="L51">
        <v>-66.8</v>
      </c>
      <c r="M51">
        <v>-102.7788</v>
      </c>
      <c r="N51">
        <v>-81.3309</v>
      </c>
      <c r="O51">
        <v>-90.4512</v>
      </c>
      <c r="P51">
        <v>-65.834000000000003</v>
      </c>
      <c r="Q51">
        <v>-92.667699999999996</v>
      </c>
      <c r="R51">
        <v>-100.64230000000001</v>
      </c>
      <c r="S51">
        <v>-92.667699999999996</v>
      </c>
      <c r="T51">
        <v>-82.3172</v>
      </c>
      <c r="U51">
        <v>-40.476399999999998</v>
      </c>
    </row>
    <row r="52" spans="1:21" x14ac:dyDescent="0.35">
      <c r="A52" t="s">
        <v>58</v>
      </c>
      <c r="B52">
        <v>-94.007499999999993</v>
      </c>
      <c r="C52">
        <v>-73.765799999999999</v>
      </c>
      <c r="D52">
        <v>-82.092600000000004</v>
      </c>
      <c r="E52">
        <v>-90.883600000000001</v>
      </c>
      <c r="F52">
        <v>-59.668300000000002</v>
      </c>
      <c r="G52">
        <v>-80.809100000000001</v>
      </c>
      <c r="H52">
        <v>-73.300299999999993</v>
      </c>
      <c r="I52">
        <v>-32.703099999999999</v>
      </c>
      <c r="K52" s="1" t="s">
        <v>58</v>
      </c>
      <c r="L52">
        <v>-67.099999999999994</v>
      </c>
      <c r="M52">
        <v>-101.3612</v>
      </c>
      <c r="N52">
        <v>-80.036000000000001</v>
      </c>
      <c r="O52">
        <v>-89.113100000000003</v>
      </c>
      <c r="P52">
        <v>-64.817800000000005</v>
      </c>
      <c r="Q52">
        <v>-90.253200000000007</v>
      </c>
      <c r="R52">
        <v>-99.158100000000005</v>
      </c>
      <c r="S52">
        <v>-90.253200000000007</v>
      </c>
      <c r="T52">
        <v>-81.263499999999993</v>
      </c>
      <c r="U52">
        <v>-39.977899999999998</v>
      </c>
    </row>
    <row r="53" spans="1:21" x14ac:dyDescent="0.35">
      <c r="A53" t="s">
        <v>59</v>
      </c>
      <c r="B53">
        <v>-95.440700000000007</v>
      </c>
      <c r="C53">
        <v>-74.651600000000002</v>
      </c>
      <c r="D53">
        <v>-82.796400000000006</v>
      </c>
      <c r="E53">
        <v>-92.535700000000006</v>
      </c>
      <c r="F53">
        <v>-60.826000000000001</v>
      </c>
      <c r="G53">
        <v>-83.075199999999995</v>
      </c>
      <c r="H53">
        <v>-74.378100000000003</v>
      </c>
      <c r="I53">
        <v>-32.7376</v>
      </c>
      <c r="K53" s="1" t="s">
        <v>59</v>
      </c>
      <c r="L53">
        <v>-66</v>
      </c>
      <c r="M53">
        <v>-100.6405</v>
      </c>
      <c r="N53">
        <v>-79.275099999999995</v>
      </c>
      <c r="O53">
        <v>-88.0124</v>
      </c>
      <c r="P53">
        <v>-64.327200000000005</v>
      </c>
      <c r="Q53">
        <v>-89.850499999999997</v>
      </c>
      <c r="R53">
        <v>-98.148799999999994</v>
      </c>
      <c r="S53">
        <v>-89.850499999999997</v>
      </c>
      <c r="T53">
        <v>-80.029499999999999</v>
      </c>
      <c r="U53">
        <v>-38.1068</v>
      </c>
    </row>
    <row r="54" spans="1:21" x14ac:dyDescent="0.35">
      <c r="A54" t="s">
        <v>60</v>
      </c>
      <c r="B54">
        <v>-97.666600000000003</v>
      </c>
      <c r="C54">
        <v>-77.023300000000006</v>
      </c>
      <c r="D54">
        <v>-85.6006</v>
      </c>
      <c r="E54">
        <v>-95.383899999999997</v>
      </c>
      <c r="F54">
        <v>-62.396799999999999</v>
      </c>
      <c r="G54">
        <v>-86.515299999999996</v>
      </c>
      <c r="H54">
        <v>-77.491299999999995</v>
      </c>
      <c r="I54">
        <v>-35.909700000000001</v>
      </c>
      <c r="K54" s="1" t="s">
        <v>60</v>
      </c>
      <c r="L54">
        <v>-72.3</v>
      </c>
      <c r="M54">
        <v>-101.4156</v>
      </c>
      <c r="N54">
        <v>-80.2179</v>
      </c>
      <c r="O54">
        <v>-89.159700000000001</v>
      </c>
      <c r="P54">
        <v>-65.124799999999993</v>
      </c>
      <c r="Q54">
        <v>-91.125500000000002</v>
      </c>
      <c r="R54">
        <v>-99.256500000000003</v>
      </c>
      <c r="S54">
        <v>-91.125500000000002</v>
      </c>
      <c r="T54">
        <v>-81.614000000000004</v>
      </c>
      <c r="U54">
        <v>-39.770600000000002</v>
      </c>
    </row>
    <row r="55" spans="1:21" x14ac:dyDescent="0.35">
      <c r="A55" t="s">
        <v>61</v>
      </c>
      <c r="B55">
        <v>-101.14190000000001</v>
      </c>
      <c r="C55">
        <v>-82.347200000000001</v>
      </c>
      <c r="D55">
        <v>-92.255700000000004</v>
      </c>
      <c r="E55">
        <v>-97.795699999999997</v>
      </c>
      <c r="F55">
        <v>-66.011499999999998</v>
      </c>
      <c r="G55">
        <v>-91.562399999999997</v>
      </c>
      <c r="H55">
        <v>-82.489099999999993</v>
      </c>
      <c r="I55">
        <v>-46.044600000000003</v>
      </c>
      <c r="K55" s="1" t="s">
        <v>61</v>
      </c>
      <c r="L55">
        <f>-74.2</f>
        <v>-74.2</v>
      </c>
      <c r="M55">
        <v>-102.0119</v>
      </c>
      <c r="N55">
        <v>-83.150999999999996</v>
      </c>
      <c r="O55">
        <v>-93.1721</v>
      </c>
      <c r="P55">
        <v>-66.619600000000005</v>
      </c>
      <c r="Q55">
        <v>-92.219700000000003</v>
      </c>
      <c r="R55">
        <v>-98.408900000000003</v>
      </c>
      <c r="S55">
        <v>-92.219700000000003</v>
      </c>
      <c r="T55">
        <v>-83.434399999999997</v>
      </c>
      <c r="U55">
        <v>-46.898899999999998</v>
      </c>
    </row>
    <row r="56" spans="1:21" x14ac:dyDescent="0.35">
      <c r="A56" t="s">
        <v>62</v>
      </c>
      <c r="B56">
        <v>-97.412400000000005</v>
      </c>
      <c r="C56">
        <v>-78.730699999999999</v>
      </c>
      <c r="D56">
        <v>-88.155000000000001</v>
      </c>
      <c r="E56">
        <v>-94.3917</v>
      </c>
      <c r="F56">
        <v>-63.098500000000001</v>
      </c>
      <c r="G56">
        <v>-84.343500000000006</v>
      </c>
      <c r="H56">
        <v>-78.853800000000007</v>
      </c>
      <c r="I56">
        <v>-42.4848</v>
      </c>
      <c r="K56" s="1" t="s">
        <v>62</v>
      </c>
      <c r="L56">
        <v>-76.2</v>
      </c>
      <c r="M56">
        <v>-101.2283</v>
      </c>
      <c r="N56">
        <v>-82.2607</v>
      </c>
      <c r="O56">
        <v>-92.097099999999998</v>
      </c>
      <c r="P56">
        <v>-65.813100000000006</v>
      </c>
      <c r="Q56">
        <v>-91.131</v>
      </c>
      <c r="R56">
        <v>-97.686300000000003</v>
      </c>
      <c r="S56">
        <v>-91.131</v>
      </c>
      <c r="T56">
        <v>-82.668999999999997</v>
      </c>
      <c r="U56">
        <v>-46.265999999999998</v>
      </c>
    </row>
    <row r="57" spans="1:21" x14ac:dyDescent="0.35">
      <c r="A57" t="s">
        <v>63</v>
      </c>
      <c r="B57">
        <v>-100.6409</v>
      </c>
      <c r="C57">
        <v>-81.829400000000007</v>
      </c>
      <c r="D57">
        <v>-91.668400000000005</v>
      </c>
      <c r="E57">
        <v>-96.706199999999995</v>
      </c>
      <c r="F57">
        <v>-65.505200000000002</v>
      </c>
      <c r="G57">
        <v>-91.924300000000002</v>
      </c>
      <c r="H57">
        <v>-81.911699999999996</v>
      </c>
      <c r="I57">
        <v>-45.389299999999999</v>
      </c>
      <c r="K57" s="1" t="s">
        <v>63</v>
      </c>
      <c r="L57">
        <v>-77.2</v>
      </c>
      <c r="M57">
        <v>-101.3854</v>
      </c>
      <c r="N57">
        <v>-82.519599999999997</v>
      </c>
      <c r="O57">
        <v>-92.469300000000004</v>
      </c>
      <c r="P57">
        <v>-66.038499999999999</v>
      </c>
      <c r="Q57">
        <v>-92.317700000000002</v>
      </c>
      <c r="R57">
        <v>-97.579700000000003</v>
      </c>
      <c r="S57">
        <v>-92.317700000000002</v>
      </c>
      <c r="T57">
        <v>-82.927800000000005</v>
      </c>
      <c r="U57">
        <v>-46.569800000000001</v>
      </c>
    </row>
    <row r="58" spans="1:21" x14ac:dyDescent="0.35">
      <c r="A58" t="s">
        <v>64</v>
      </c>
      <c r="B58">
        <v>-101.01990000000001</v>
      </c>
      <c r="C58">
        <v>-82.3125</v>
      </c>
      <c r="D58">
        <v>-92.022800000000004</v>
      </c>
      <c r="E58">
        <v>-97.590299999999999</v>
      </c>
      <c r="F58">
        <v>-66.417299999999997</v>
      </c>
      <c r="G58">
        <v>-93.165400000000005</v>
      </c>
      <c r="H58">
        <v>-82.441000000000003</v>
      </c>
      <c r="I58">
        <v>-45.526200000000003</v>
      </c>
      <c r="K58" s="1" t="s">
        <v>64</v>
      </c>
      <c r="L58">
        <v>-75.5</v>
      </c>
      <c r="M58">
        <v>-102.4962</v>
      </c>
      <c r="N58">
        <v>-83.685900000000004</v>
      </c>
      <c r="O58">
        <v>-93.531999999999996</v>
      </c>
      <c r="P58">
        <v>-67.402100000000004</v>
      </c>
      <c r="Q58">
        <v>-94.031499999999994</v>
      </c>
      <c r="R58">
        <v>-98.936599999999999</v>
      </c>
      <c r="S58">
        <v>-94.031499999999994</v>
      </c>
      <c r="T58">
        <v>-83.816900000000004</v>
      </c>
      <c r="U58">
        <v>-46.854700000000001</v>
      </c>
    </row>
    <row r="59" spans="1:21" x14ac:dyDescent="0.35">
      <c r="A59" t="s">
        <v>65</v>
      </c>
      <c r="B59">
        <v>-106.6621</v>
      </c>
      <c r="C59">
        <v>-86.500299999999996</v>
      </c>
      <c r="D59">
        <v>-97.687299999999993</v>
      </c>
      <c r="E59">
        <v>-104.9218</v>
      </c>
      <c r="F59">
        <v>-69.744699999999995</v>
      </c>
      <c r="G59">
        <v>-102.3227</v>
      </c>
      <c r="H59">
        <v>-85.920199999999994</v>
      </c>
      <c r="I59">
        <v>-45.372</v>
      </c>
      <c r="K59" s="1" t="s">
        <v>65</v>
      </c>
      <c r="L59">
        <v>-79.3</v>
      </c>
      <c r="M59">
        <v>-108.4932</v>
      </c>
      <c r="N59">
        <v>-88.155799999999999</v>
      </c>
      <c r="O59">
        <v>-99.536299999999997</v>
      </c>
      <c r="P59">
        <v>-71.132400000000004</v>
      </c>
      <c r="Q59">
        <v>-103.4091</v>
      </c>
      <c r="R59">
        <v>-106.5364</v>
      </c>
      <c r="S59">
        <v>-103.4091</v>
      </c>
      <c r="T59">
        <v>-88.2029</v>
      </c>
      <c r="U59">
        <v>-47.648200000000003</v>
      </c>
    </row>
    <row r="60" spans="1:21" x14ac:dyDescent="0.35">
      <c r="A60" t="s">
        <v>66</v>
      </c>
      <c r="B60">
        <v>-107.2253</v>
      </c>
      <c r="C60">
        <v>-86.7714</v>
      </c>
      <c r="D60">
        <v>-97.807199999999995</v>
      </c>
      <c r="E60">
        <v>-104.47839999999999</v>
      </c>
      <c r="F60">
        <v>-70.053899999999999</v>
      </c>
      <c r="G60">
        <v>-97.063699999999997</v>
      </c>
      <c r="H60">
        <v>-85.808899999999994</v>
      </c>
      <c r="I60">
        <v>-44.368499999999997</v>
      </c>
      <c r="K60" s="1" t="s">
        <v>66</v>
      </c>
      <c r="L60">
        <v>-76.8</v>
      </c>
      <c r="M60">
        <v>-108.77460000000001</v>
      </c>
      <c r="N60">
        <v>-88.152600000000007</v>
      </c>
      <c r="O60">
        <v>-99.334000000000003</v>
      </c>
      <c r="P60">
        <v>-70.662099999999995</v>
      </c>
      <c r="Q60">
        <v>-98.607699999999994</v>
      </c>
      <c r="R60">
        <v>-107.2321</v>
      </c>
      <c r="S60">
        <v>-98.607699999999994</v>
      </c>
      <c r="T60">
        <v>-87.917699999999996</v>
      </c>
      <c r="U60">
        <v>-46.9084</v>
      </c>
    </row>
    <row r="61" spans="1:21" x14ac:dyDescent="0.35">
      <c r="A61" t="s">
        <v>67</v>
      </c>
      <c r="B61">
        <v>-105.7794</v>
      </c>
      <c r="C61">
        <v>-85.527299999999997</v>
      </c>
      <c r="D61">
        <v>-96.378799999999998</v>
      </c>
      <c r="E61">
        <v>-103.834</v>
      </c>
      <c r="F61">
        <v>-68.815899999999999</v>
      </c>
      <c r="G61">
        <v>-102.4409</v>
      </c>
      <c r="H61">
        <v>-84.832899999999995</v>
      </c>
      <c r="I61">
        <v>-44.539000000000001</v>
      </c>
      <c r="K61" s="1" t="s">
        <v>67</v>
      </c>
      <c r="L61">
        <v>-73.900000000000006</v>
      </c>
      <c r="M61">
        <v>-109.0394</v>
      </c>
      <c r="N61">
        <v>-88.433899999999994</v>
      </c>
      <c r="O61">
        <v>-99.625600000000006</v>
      </c>
      <c r="P61">
        <v>-71.1571</v>
      </c>
      <c r="Q61">
        <v>-105.6063</v>
      </c>
      <c r="R61">
        <v>-107.696</v>
      </c>
      <c r="S61">
        <v>-105.6063</v>
      </c>
      <c r="T61">
        <v>-88.462000000000003</v>
      </c>
      <c r="U61">
        <v>-47.683300000000003</v>
      </c>
    </row>
    <row r="62" spans="1:21" x14ac:dyDescent="0.35">
      <c r="A62" t="s">
        <v>68</v>
      </c>
      <c r="B62">
        <v>-106.0282</v>
      </c>
      <c r="C62">
        <v>-85.681100000000001</v>
      </c>
      <c r="D62">
        <v>-96.335400000000007</v>
      </c>
      <c r="E62">
        <v>-104.6189</v>
      </c>
      <c r="F62">
        <v>-69.140699999999995</v>
      </c>
      <c r="G62">
        <v>-98.432100000000005</v>
      </c>
      <c r="H62">
        <v>-84.815600000000003</v>
      </c>
      <c r="I62">
        <v>-43.735599999999998</v>
      </c>
      <c r="K62" s="1" t="s">
        <v>68</v>
      </c>
      <c r="L62">
        <v>-74</v>
      </c>
      <c r="M62">
        <v>-108.68129999999999</v>
      </c>
      <c r="N62">
        <v>-88.064300000000003</v>
      </c>
      <c r="O62">
        <v>-98.892799999999994</v>
      </c>
      <c r="P62">
        <v>-71.131799999999998</v>
      </c>
      <c r="Q62">
        <v>-100.0562</v>
      </c>
      <c r="R62">
        <v>-106.8038</v>
      </c>
      <c r="S62">
        <v>-100.0562</v>
      </c>
      <c r="T62">
        <v>-87.630700000000004</v>
      </c>
      <c r="U62">
        <v>-46.398099999999999</v>
      </c>
    </row>
    <row r="63" spans="1:21" x14ac:dyDescent="0.35">
      <c r="A63" t="s">
        <v>69</v>
      </c>
      <c r="B63">
        <v>-106.8878</v>
      </c>
      <c r="C63">
        <v>-86.383099999999999</v>
      </c>
      <c r="D63">
        <v>-97.009399999999999</v>
      </c>
      <c r="E63">
        <v>-105.8848</v>
      </c>
      <c r="F63">
        <v>-69.689599999999999</v>
      </c>
      <c r="G63">
        <v>-94.789900000000003</v>
      </c>
      <c r="H63">
        <v>-85.7714</v>
      </c>
      <c r="I63">
        <v>-43.830199999999998</v>
      </c>
      <c r="K63" s="1" t="s">
        <v>69</v>
      </c>
      <c r="L63">
        <v>-76.599999999999994</v>
      </c>
      <c r="M63">
        <v>-108.2394</v>
      </c>
      <c r="N63">
        <v>-87.588200000000001</v>
      </c>
      <c r="O63">
        <v>-98.354600000000005</v>
      </c>
      <c r="P63">
        <v>-70.820499999999996</v>
      </c>
      <c r="Q63">
        <v>-96.719099999999997</v>
      </c>
      <c r="R63">
        <v>-106.50279999999999</v>
      </c>
      <c r="S63">
        <v>-96.719099999999997</v>
      </c>
      <c r="T63">
        <v>-87.892799999999994</v>
      </c>
      <c r="U63">
        <v>-45.997799999999998</v>
      </c>
    </row>
    <row r="64" spans="1:21" x14ac:dyDescent="0.35">
      <c r="A64" t="s">
        <v>70</v>
      </c>
      <c r="B64">
        <v>-113.2946</v>
      </c>
      <c r="C64">
        <v>-92.123900000000006</v>
      </c>
      <c r="D64">
        <v>-103.5693</v>
      </c>
      <c r="E64">
        <v>-109.7593</v>
      </c>
      <c r="F64">
        <v>-74.459699999999998</v>
      </c>
      <c r="G64">
        <v>-105.1163</v>
      </c>
      <c r="H64">
        <v>-91.323400000000007</v>
      </c>
      <c r="I64">
        <v>-50.330500000000001</v>
      </c>
      <c r="K64" s="1" t="s">
        <v>70</v>
      </c>
      <c r="L64">
        <v>-82.9</v>
      </c>
      <c r="M64">
        <v>-116.7449</v>
      </c>
      <c r="N64">
        <v>-95.1143</v>
      </c>
      <c r="O64">
        <v>-106.9714</v>
      </c>
      <c r="P64">
        <v>-76.759</v>
      </c>
      <c r="Q64">
        <v>-109.7616</v>
      </c>
      <c r="R64">
        <v>-114.0274</v>
      </c>
      <c r="S64">
        <v>-109.7616</v>
      </c>
      <c r="T64">
        <v>-94.842100000000002</v>
      </c>
      <c r="U64">
        <v>-53.912700000000001</v>
      </c>
    </row>
    <row r="65" spans="1:21" x14ac:dyDescent="0.35">
      <c r="A65" t="s">
        <v>71</v>
      </c>
      <c r="B65">
        <v>-112.9203</v>
      </c>
      <c r="C65">
        <v>-91.593000000000004</v>
      </c>
      <c r="D65">
        <v>-102.7529</v>
      </c>
      <c r="E65">
        <v>-109.018</v>
      </c>
      <c r="F65">
        <v>-73.454099999999997</v>
      </c>
      <c r="G65">
        <v>-104.63460000000001</v>
      </c>
      <c r="H65">
        <v>-90.679699999999997</v>
      </c>
      <c r="I65">
        <v>-49.329700000000003</v>
      </c>
      <c r="K65" s="1" t="s">
        <v>71</v>
      </c>
      <c r="L65">
        <v>-81</v>
      </c>
      <c r="M65">
        <v>-117.154</v>
      </c>
      <c r="N65">
        <v>-95.389099999999999</v>
      </c>
      <c r="O65">
        <v>-107.1451</v>
      </c>
      <c r="P65">
        <v>-76.527799999999999</v>
      </c>
      <c r="Q65">
        <v>-107.7146</v>
      </c>
      <c r="R65">
        <v>-114.586</v>
      </c>
      <c r="S65">
        <v>-107.7146</v>
      </c>
      <c r="T65">
        <v>-95.377799999999993</v>
      </c>
      <c r="U65">
        <v>-54.219200000000001</v>
      </c>
    </row>
    <row r="66" spans="1:21" x14ac:dyDescent="0.35">
      <c r="A66" t="s">
        <v>72</v>
      </c>
      <c r="B66">
        <v>-111.7026</v>
      </c>
      <c r="C66">
        <v>-90.246600000000001</v>
      </c>
      <c r="D66">
        <v>-101.36239999999999</v>
      </c>
      <c r="E66">
        <v>-106.85080000000001</v>
      </c>
      <c r="F66">
        <v>-72.239800000000002</v>
      </c>
      <c r="G66">
        <v>-101.5381</v>
      </c>
      <c r="H66">
        <v>-89.272999999999996</v>
      </c>
      <c r="I66">
        <v>-47.688499999999998</v>
      </c>
      <c r="K66" s="1" t="s">
        <v>72</v>
      </c>
      <c r="L66">
        <v>-81.099999999999994</v>
      </c>
      <c r="M66">
        <v>-116.3837</v>
      </c>
      <c r="N66">
        <v>-94.677599999999998</v>
      </c>
      <c r="O66">
        <v>-106.57850000000001</v>
      </c>
      <c r="P66">
        <v>-75.645499999999998</v>
      </c>
      <c r="Q66">
        <v>-110.6554</v>
      </c>
      <c r="R66">
        <v>-113.52030000000001</v>
      </c>
      <c r="S66">
        <v>-110.6554</v>
      </c>
      <c r="T66">
        <v>-94.475200000000001</v>
      </c>
      <c r="U66">
        <v>-53.658099999999997</v>
      </c>
    </row>
    <row r="67" spans="1:21" x14ac:dyDescent="0.35">
      <c r="A67" t="s">
        <v>73</v>
      </c>
      <c r="B67">
        <v>-113.8202</v>
      </c>
      <c r="C67">
        <v>-92.561199999999999</v>
      </c>
      <c r="D67">
        <v>-104.21769999999999</v>
      </c>
      <c r="E67">
        <v>-109.58110000000001</v>
      </c>
      <c r="F67">
        <v>-74.240399999999994</v>
      </c>
      <c r="G67">
        <v>-108.2679</v>
      </c>
      <c r="H67">
        <v>-91.738900000000001</v>
      </c>
      <c r="I67">
        <v>-50.724400000000003</v>
      </c>
      <c r="K67" s="1" t="s">
        <v>73</v>
      </c>
      <c r="L67">
        <v>-78.2</v>
      </c>
      <c r="M67">
        <v>-116.5582</v>
      </c>
      <c r="N67">
        <v>-94.952299999999994</v>
      </c>
      <c r="O67">
        <v>-106.9667</v>
      </c>
      <c r="P67">
        <v>-76.195300000000003</v>
      </c>
      <c r="Q67">
        <v>-111.0162</v>
      </c>
      <c r="R67">
        <v>-113.6725</v>
      </c>
      <c r="S67">
        <v>-111.0162</v>
      </c>
      <c r="T67">
        <v>-94.692099999999996</v>
      </c>
      <c r="U67">
        <v>-53.693600000000004</v>
      </c>
    </row>
    <row r="68" spans="1:21" x14ac:dyDescent="0.35">
      <c r="A68" t="s">
        <v>74</v>
      </c>
      <c r="B68">
        <v>-112.6207</v>
      </c>
      <c r="C68">
        <v>-91.249700000000004</v>
      </c>
      <c r="D68">
        <v>-102.5693</v>
      </c>
      <c r="E68">
        <v>-110.69929999999999</v>
      </c>
      <c r="F68">
        <v>-72.977400000000003</v>
      </c>
      <c r="G68">
        <v>-101.3502</v>
      </c>
      <c r="H68">
        <v>-90.623099999999994</v>
      </c>
      <c r="I68">
        <v>-49.102200000000003</v>
      </c>
      <c r="K68" s="1" t="s">
        <v>74</v>
      </c>
      <c r="L68">
        <v>-78.7</v>
      </c>
      <c r="M68">
        <v>-116.6285</v>
      </c>
      <c r="N68">
        <v>-94.774799999999999</v>
      </c>
      <c r="O68">
        <v>-106.5461</v>
      </c>
      <c r="P68">
        <v>-75.7273</v>
      </c>
      <c r="Q68">
        <v>-103.9552</v>
      </c>
      <c r="R68">
        <v>-114.59610000000001</v>
      </c>
      <c r="S68">
        <v>-103.9552</v>
      </c>
      <c r="T68">
        <v>-94.768199999999993</v>
      </c>
      <c r="U68">
        <v>-53.170299999999997</v>
      </c>
    </row>
    <row r="69" spans="1:21" x14ac:dyDescent="0.35">
      <c r="A69" t="s">
        <v>75</v>
      </c>
      <c r="B69">
        <v>-103.2611</v>
      </c>
      <c r="C69">
        <v>-84.809899999999999</v>
      </c>
      <c r="D69">
        <v>-95.024199999999993</v>
      </c>
      <c r="E69">
        <v>-98.448700000000002</v>
      </c>
      <c r="F69">
        <v>-68.1494</v>
      </c>
      <c r="G69">
        <v>-93.884500000000003</v>
      </c>
      <c r="H69">
        <v>-83.717100000000002</v>
      </c>
      <c r="I69">
        <v>-46.755699999999997</v>
      </c>
      <c r="K69" s="1" t="s">
        <v>75</v>
      </c>
      <c r="L69">
        <v>-74.5</v>
      </c>
      <c r="M69">
        <v>-106.7576</v>
      </c>
      <c r="N69">
        <v>-87.988200000000006</v>
      </c>
      <c r="O69">
        <v>-98.630700000000004</v>
      </c>
      <c r="P69">
        <v>-70.468699999999998</v>
      </c>
      <c r="Q69">
        <v>-96.475999999999999</v>
      </c>
      <c r="R69">
        <v>-101.9744</v>
      </c>
      <c r="S69">
        <v>-96.475999999999999</v>
      </c>
      <c r="T69">
        <v>-87.224900000000005</v>
      </c>
      <c r="U69">
        <v>-50.370699999999999</v>
      </c>
    </row>
    <row r="70" spans="1:21" x14ac:dyDescent="0.35">
      <c r="A70" t="s">
        <v>76</v>
      </c>
      <c r="B70">
        <v>-100.84950000000001</v>
      </c>
      <c r="C70">
        <v>-82.721100000000007</v>
      </c>
      <c r="D70">
        <v>-93.019800000000004</v>
      </c>
      <c r="E70">
        <v>-95.164699999999996</v>
      </c>
      <c r="F70">
        <v>-66.508200000000002</v>
      </c>
      <c r="G70">
        <v>-89.302400000000006</v>
      </c>
      <c r="H70">
        <v>-81.092799999999997</v>
      </c>
      <c r="I70">
        <v>-44.394100000000002</v>
      </c>
      <c r="K70" s="1" t="s">
        <v>76</v>
      </c>
      <c r="L70">
        <v>-74.099999999999994</v>
      </c>
      <c r="M70">
        <v>-105.8815</v>
      </c>
      <c r="N70">
        <v>-87.325999999999993</v>
      </c>
      <c r="O70">
        <v>-98.1875</v>
      </c>
      <c r="P70">
        <v>-70.028999999999996</v>
      </c>
      <c r="Q70">
        <v>-93.6554</v>
      </c>
      <c r="R70">
        <v>-100.9791</v>
      </c>
      <c r="S70">
        <v>-93.6554</v>
      </c>
      <c r="T70">
        <v>-86.126800000000003</v>
      </c>
      <c r="U70">
        <v>-49.639600000000002</v>
      </c>
    </row>
    <row r="71" spans="1:21" x14ac:dyDescent="0.35">
      <c r="A71" t="s">
        <v>77</v>
      </c>
      <c r="B71">
        <v>-104.0091</v>
      </c>
      <c r="C71">
        <v>-85.393199999999993</v>
      </c>
      <c r="D71">
        <v>-96.174999999999997</v>
      </c>
      <c r="E71">
        <v>-99.319599999999994</v>
      </c>
      <c r="F71">
        <v>-68.334699999999998</v>
      </c>
      <c r="G71">
        <v>-97.523600000000002</v>
      </c>
      <c r="H71">
        <v>-83.995999999999995</v>
      </c>
      <c r="I71">
        <v>-47.0745</v>
      </c>
      <c r="K71" s="1" t="s">
        <v>77</v>
      </c>
      <c r="L71">
        <v>-74.7</v>
      </c>
      <c r="M71">
        <v>-106.1948</v>
      </c>
      <c r="N71">
        <v>-87.365300000000005</v>
      </c>
      <c r="O71">
        <v>-98.402699999999996</v>
      </c>
      <c r="P71">
        <v>-69.833600000000004</v>
      </c>
      <c r="Q71">
        <v>-98.575999999999993</v>
      </c>
      <c r="R71">
        <v>-102.06100000000001</v>
      </c>
      <c r="S71">
        <v>-98.575999999999993</v>
      </c>
      <c r="T71">
        <v>-86.478899999999996</v>
      </c>
      <c r="U71">
        <v>-49.631900000000002</v>
      </c>
    </row>
    <row r="72" spans="1:21" x14ac:dyDescent="0.35">
      <c r="A72" t="s">
        <v>78</v>
      </c>
      <c r="B72">
        <v>-103.1848</v>
      </c>
      <c r="C72">
        <v>-84.650300000000001</v>
      </c>
      <c r="D72">
        <v>-95.018600000000006</v>
      </c>
      <c r="E72">
        <v>-98.421800000000005</v>
      </c>
      <c r="F72">
        <v>-67.661799999999999</v>
      </c>
      <c r="G72">
        <v>-90.053399999999996</v>
      </c>
      <c r="H72">
        <v>-83.522499999999994</v>
      </c>
      <c r="I72">
        <v>-46.377600000000001</v>
      </c>
      <c r="K72" s="1" t="s">
        <v>78</v>
      </c>
      <c r="L72">
        <v>-75</v>
      </c>
      <c r="M72">
        <v>-106.5826</v>
      </c>
      <c r="N72">
        <v>-87.675399999999996</v>
      </c>
      <c r="O72">
        <v>-98.414900000000003</v>
      </c>
      <c r="P72">
        <v>-69.785300000000007</v>
      </c>
      <c r="Q72">
        <v>-94.517099999999999</v>
      </c>
      <c r="R72">
        <v>-102.49979999999999</v>
      </c>
      <c r="S72">
        <v>-94.517099999999999</v>
      </c>
      <c r="T72">
        <v>-87.009100000000004</v>
      </c>
      <c r="U72">
        <v>-49.592199999999998</v>
      </c>
    </row>
    <row r="73" spans="1:21" x14ac:dyDescent="0.35">
      <c r="A73" t="s">
        <v>79</v>
      </c>
      <c r="B73">
        <v>-109.9941</v>
      </c>
      <c r="C73">
        <v>-88.618499999999997</v>
      </c>
      <c r="D73">
        <v>-99.403599999999997</v>
      </c>
      <c r="E73">
        <v>-106.5886</v>
      </c>
      <c r="F73">
        <v>-70.261300000000006</v>
      </c>
      <c r="G73">
        <v>-102.3991</v>
      </c>
      <c r="H73">
        <v>-87.903800000000004</v>
      </c>
      <c r="I73">
        <v>-47.0914</v>
      </c>
      <c r="K73" s="1" t="s">
        <v>79</v>
      </c>
      <c r="L73">
        <v>-77.2</v>
      </c>
      <c r="M73">
        <v>-112.27330000000001</v>
      </c>
      <c r="N73">
        <v>-90.727500000000006</v>
      </c>
      <c r="O73">
        <v>-101.79819999999999</v>
      </c>
      <c r="P73">
        <v>-71.861099999999993</v>
      </c>
      <c r="Q73">
        <v>-105.51739999999999</v>
      </c>
      <c r="R73">
        <v>-108.018</v>
      </c>
      <c r="S73">
        <v>-105.51739999999999</v>
      </c>
      <c r="T73">
        <v>-90.253699999999995</v>
      </c>
      <c r="U73">
        <v>-49.551900000000003</v>
      </c>
    </row>
    <row r="74" spans="1:21" x14ac:dyDescent="0.35">
      <c r="A74" t="s">
        <v>80</v>
      </c>
      <c r="B74">
        <v>-108.8554</v>
      </c>
      <c r="C74">
        <v>-87.566800000000001</v>
      </c>
      <c r="D74">
        <v>-98.214399999999998</v>
      </c>
      <c r="E74">
        <v>-105.6027</v>
      </c>
      <c r="F74">
        <v>-69.599000000000004</v>
      </c>
      <c r="G74">
        <v>-96.5869</v>
      </c>
      <c r="H74">
        <v>-87.267099999999999</v>
      </c>
      <c r="I74">
        <v>-46.542000000000002</v>
      </c>
      <c r="K74" s="1" t="s">
        <v>80</v>
      </c>
      <c r="L74">
        <v>-75.8</v>
      </c>
      <c r="M74">
        <v>-111.6202</v>
      </c>
      <c r="N74">
        <v>-90.006299999999996</v>
      </c>
      <c r="O74">
        <v>-100.9121</v>
      </c>
      <c r="P74">
        <v>-71.496600000000001</v>
      </c>
      <c r="Q74">
        <v>-98.523200000000003</v>
      </c>
      <c r="R74">
        <v>-108.4962</v>
      </c>
      <c r="S74">
        <v>-98.523200000000003</v>
      </c>
      <c r="T74">
        <v>-89.891499999999994</v>
      </c>
      <c r="U74">
        <v>-49.125300000000003</v>
      </c>
    </row>
    <row r="75" spans="1:21" x14ac:dyDescent="0.35">
      <c r="A75" t="s">
        <v>81</v>
      </c>
      <c r="B75">
        <v>-108.917</v>
      </c>
      <c r="C75">
        <v>-87.590599999999995</v>
      </c>
      <c r="D75">
        <v>-98.233500000000006</v>
      </c>
      <c r="E75">
        <v>-105.28919999999999</v>
      </c>
      <c r="F75">
        <v>-69.467399999999998</v>
      </c>
      <c r="G75">
        <v>-101.1807</v>
      </c>
      <c r="H75">
        <v>-86.429599999999994</v>
      </c>
      <c r="I75">
        <v>-45.521299999999997</v>
      </c>
      <c r="K75" s="1" t="s">
        <v>81</v>
      </c>
      <c r="L75">
        <v>-78.599999999999994</v>
      </c>
      <c r="M75">
        <v>-111.8188</v>
      </c>
      <c r="N75">
        <v>-90.166300000000007</v>
      </c>
      <c r="O75">
        <v>-101.1272</v>
      </c>
      <c r="P75">
        <v>-71.333399999999997</v>
      </c>
      <c r="Q75">
        <v>-104.0448</v>
      </c>
      <c r="R75">
        <v>-107.8702</v>
      </c>
      <c r="S75">
        <v>-104.0448</v>
      </c>
      <c r="T75">
        <v>-89.121200000000002</v>
      </c>
      <c r="U75">
        <v>-48.399500000000003</v>
      </c>
    </row>
    <row r="76" spans="1:21" x14ac:dyDescent="0.35">
      <c r="A76" t="s">
        <v>82</v>
      </c>
      <c r="B76">
        <v>-109.74339999999999</v>
      </c>
      <c r="C76">
        <v>-88.411900000000003</v>
      </c>
      <c r="D76">
        <v>-99.088999999999999</v>
      </c>
      <c r="E76">
        <v>-106.2013</v>
      </c>
      <c r="F76">
        <v>-70.184700000000007</v>
      </c>
      <c r="G76">
        <v>-99.093000000000004</v>
      </c>
      <c r="H76">
        <v>-87.773499999999999</v>
      </c>
      <c r="I76">
        <v>-46.694200000000002</v>
      </c>
      <c r="K76" s="1" t="s">
        <v>82</v>
      </c>
      <c r="L76">
        <v>-77.3</v>
      </c>
      <c r="M76">
        <v>-112.4205</v>
      </c>
      <c r="N76">
        <v>-90.8249</v>
      </c>
      <c r="O76">
        <v>-101.87520000000001</v>
      </c>
      <c r="P76">
        <v>-71.950699999999998</v>
      </c>
      <c r="Q76">
        <v>-100.9635</v>
      </c>
      <c r="R76">
        <v>-109.6537</v>
      </c>
      <c r="S76">
        <v>-100.9635</v>
      </c>
      <c r="T76">
        <v>-90.4572</v>
      </c>
      <c r="U76">
        <v>-49.300800000000002</v>
      </c>
    </row>
    <row r="77" spans="1:21" x14ac:dyDescent="0.35">
      <c r="A77" t="s">
        <v>83</v>
      </c>
      <c r="B77">
        <v>-108.264</v>
      </c>
      <c r="C77">
        <v>-87.067599999999999</v>
      </c>
      <c r="D77">
        <v>-97.485200000000006</v>
      </c>
      <c r="E77">
        <v>-106.1618</v>
      </c>
      <c r="F77">
        <v>-69.441900000000004</v>
      </c>
      <c r="G77">
        <v>-97.379000000000005</v>
      </c>
      <c r="H77">
        <v>-86.510900000000007</v>
      </c>
      <c r="I77">
        <v>-45.795999999999999</v>
      </c>
      <c r="K77" s="1" t="s">
        <v>83</v>
      </c>
      <c r="L77">
        <v>-79.400000000000006</v>
      </c>
      <c r="M77">
        <v>-111.7269</v>
      </c>
      <c r="N77">
        <v>-90.137799999999999</v>
      </c>
      <c r="O77">
        <v>-100.9226</v>
      </c>
      <c r="P77">
        <v>-71.67</v>
      </c>
      <c r="Q77">
        <v>-101.30119999999999</v>
      </c>
      <c r="R77">
        <v>-108.2698</v>
      </c>
      <c r="S77">
        <v>-101.30119999999999</v>
      </c>
      <c r="T77">
        <v>-89.558899999999994</v>
      </c>
      <c r="U77">
        <v>-48.619900000000001</v>
      </c>
    </row>
    <row r="78" spans="1:21" x14ac:dyDescent="0.35">
      <c r="A78" t="s">
        <v>84</v>
      </c>
      <c r="B78">
        <v>-80.718699999999998</v>
      </c>
      <c r="C78">
        <v>-66.4221</v>
      </c>
      <c r="D78">
        <v>-74.712299999999999</v>
      </c>
      <c r="E78">
        <v>-75.192700000000002</v>
      </c>
      <c r="F78">
        <v>-51.503300000000003</v>
      </c>
      <c r="G78">
        <v>-76.808700000000002</v>
      </c>
      <c r="H78">
        <v>-65.467399999999998</v>
      </c>
      <c r="I78">
        <v>-36.505899999999997</v>
      </c>
      <c r="K78" s="1" t="s">
        <v>84</v>
      </c>
      <c r="L78">
        <v>-52.3</v>
      </c>
      <c r="M78">
        <v>-84.629400000000004</v>
      </c>
      <c r="N78">
        <v>-69.9285</v>
      </c>
      <c r="O78">
        <v>-78.759699999999995</v>
      </c>
      <c r="P78">
        <v>-54.545299999999997</v>
      </c>
      <c r="Q78">
        <v>-78.713700000000003</v>
      </c>
      <c r="R78">
        <v>-79.916499999999999</v>
      </c>
      <c r="S78">
        <v>-78.713700000000003</v>
      </c>
      <c r="T78">
        <v>-69.351100000000002</v>
      </c>
      <c r="U78">
        <v>-41.623899999999999</v>
      </c>
    </row>
    <row r="79" spans="1:21" x14ac:dyDescent="0.35">
      <c r="A79" t="s">
        <v>85</v>
      </c>
      <c r="B79">
        <v>-82.357500000000002</v>
      </c>
      <c r="C79">
        <v>-68.073700000000002</v>
      </c>
      <c r="D79">
        <v>-76.610799999999998</v>
      </c>
      <c r="E79">
        <v>-77.781499999999994</v>
      </c>
      <c r="F79">
        <v>-53.033999999999999</v>
      </c>
      <c r="G79">
        <v>-74.502799999999993</v>
      </c>
      <c r="H79">
        <v>-67.788700000000006</v>
      </c>
      <c r="I79">
        <v>-38.914900000000003</v>
      </c>
      <c r="K79" s="1" t="s">
        <v>85</v>
      </c>
      <c r="L79">
        <v>-50.1</v>
      </c>
      <c r="M79">
        <v>-85.541300000000007</v>
      </c>
      <c r="N79">
        <v>-70.883499999999998</v>
      </c>
      <c r="O79">
        <v>-79.837999999999994</v>
      </c>
      <c r="P79">
        <v>-55.570399999999999</v>
      </c>
      <c r="Q79">
        <v>-75.400499999999994</v>
      </c>
      <c r="R79">
        <v>-81.626800000000003</v>
      </c>
      <c r="S79">
        <v>-75.400499999999994</v>
      </c>
      <c r="T79">
        <v>-71.325800000000001</v>
      </c>
      <c r="U79">
        <v>-43.274799999999999</v>
      </c>
    </row>
    <row r="80" spans="1:21" x14ac:dyDescent="0.35">
      <c r="A80" t="s">
        <v>86</v>
      </c>
      <c r="B80">
        <v>-81.620500000000007</v>
      </c>
      <c r="C80">
        <v>-67.579899999999995</v>
      </c>
      <c r="D80">
        <v>-75.825900000000004</v>
      </c>
      <c r="E80">
        <v>-77.600099999999998</v>
      </c>
      <c r="F80">
        <v>-53.332000000000001</v>
      </c>
      <c r="G80">
        <v>-73.936999999999998</v>
      </c>
      <c r="H80">
        <v>-66.792199999999994</v>
      </c>
      <c r="I80">
        <v>-38.441099999999999</v>
      </c>
      <c r="K80" s="1" t="s">
        <v>86</v>
      </c>
      <c r="L80">
        <v>-52.5</v>
      </c>
      <c r="M80">
        <v>-85.096800000000002</v>
      </c>
      <c r="N80">
        <v>-70.552899999999994</v>
      </c>
      <c r="O80">
        <v>-79.372699999999995</v>
      </c>
      <c r="P80">
        <v>-55.7211</v>
      </c>
      <c r="Q80">
        <v>-76.349199999999996</v>
      </c>
      <c r="R80">
        <v>-81.362700000000004</v>
      </c>
      <c r="S80">
        <v>-76.349199999999996</v>
      </c>
      <c r="T80">
        <v>-71.162400000000005</v>
      </c>
      <c r="U80">
        <v>-43.390300000000003</v>
      </c>
    </row>
    <row r="81" spans="1:21" x14ac:dyDescent="0.35">
      <c r="A81" t="s">
        <v>87</v>
      </c>
      <c r="B81">
        <v>-83.066900000000004</v>
      </c>
      <c r="C81">
        <v>-68.753299999999996</v>
      </c>
      <c r="D81">
        <v>-77.293800000000005</v>
      </c>
      <c r="E81">
        <v>-79.122100000000003</v>
      </c>
      <c r="F81">
        <v>-54.1374</v>
      </c>
      <c r="G81">
        <v>-73.469899999999996</v>
      </c>
      <c r="H81">
        <v>-69.061099999999996</v>
      </c>
      <c r="I81">
        <v>-39.676499999999997</v>
      </c>
      <c r="K81" s="1" t="s">
        <v>87</v>
      </c>
      <c r="L81">
        <v>-49.6</v>
      </c>
      <c r="M81">
        <v>-84.534499999999994</v>
      </c>
      <c r="N81">
        <v>-70.100999999999999</v>
      </c>
      <c r="O81">
        <v>-79.020600000000002</v>
      </c>
      <c r="P81">
        <v>-55.470100000000002</v>
      </c>
      <c r="Q81">
        <v>-73.203999999999994</v>
      </c>
      <c r="R81">
        <v>-80.749899999999997</v>
      </c>
      <c r="S81">
        <v>-73.203999999999994</v>
      </c>
      <c r="T81">
        <v>-71.294700000000006</v>
      </c>
      <c r="U81">
        <v>-43.233400000000003</v>
      </c>
    </row>
    <row r="82" spans="1:21" x14ac:dyDescent="0.35">
      <c r="A82" t="s">
        <v>88</v>
      </c>
      <c r="B82">
        <v>-116.0089</v>
      </c>
      <c r="C82">
        <v>-92.4773</v>
      </c>
      <c r="D82">
        <v>-102.88120000000001</v>
      </c>
      <c r="E82">
        <v>-113.48180000000001</v>
      </c>
      <c r="F82">
        <v>-75.237700000000004</v>
      </c>
      <c r="G82">
        <v>-104.5497</v>
      </c>
      <c r="H82">
        <v>-91.013999999999996</v>
      </c>
      <c r="I82">
        <v>-44.579599999999999</v>
      </c>
      <c r="K82" s="1" t="s">
        <v>88</v>
      </c>
      <c r="L82">
        <v>-88.5</v>
      </c>
      <c r="M82">
        <v>-118.86190000000001</v>
      </c>
      <c r="N82">
        <v>-95.021199999999993</v>
      </c>
      <c r="O82">
        <v>-105.7381</v>
      </c>
      <c r="P82">
        <v>-77.093500000000006</v>
      </c>
      <c r="Q82">
        <v>-107.54770000000001</v>
      </c>
      <c r="R82">
        <v>-115.4289</v>
      </c>
      <c r="S82">
        <v>-107.54770000000001</v>
      </c>
      <c r="T82">
        <v>-93.914599999999993</v>
      </c>
      <c r="U82">
        <v>-47.303400000000003</v>
      </c>
    </row>
    <row r="83" spans="1:21" x14ac:dyDescent="0.35">
      <c r="A83" t="s">
        <v>89</v>
      </c>
      <c r="B83">
        <v>-115.7959</v>
      </c>
      <c r="C83">
        <v>-92.143900000000002</v>
      </c>
      <c r="D83">
        <v>-102.33710000000001</v>
      </c>
      <c r="E83">
        <v>-112.1357</v>
      </c>
      <c r="F83">
        <v>-74.8626</v>
      </c>
      <c r="G83">
        <v>-106.3531</v>
      </c>
      <c r="H83">
        <v>-90.154899999999998</v>
      </c>
      <c r="I83">
        <v>-43.563600000000001</v>
      </c>
      <c r="K83" s="1" t="s">
        <v>89</v>
      </c>
      <c r="L83">
        <v>-89.3</v>
      </c>
      <c r="M83">
        <v>-118.8856</v>
      </c>
      <c r="N83">
        <v>-94.902799999999999</v>
      </c>
      <c r="O83">
        <v>-105.4667</v>
      </c>
      <c r="P83">
        <v>-76.897900000000007</v>
      </c>
      <c r="Q83">
        <v>-109.2469</v>
      </c>
      <c r="R83">
        <v>-115.3262</v>
      </c>
      <c r="S83">
        <v>-109.2469</v>
      </c>
      <c r="T83">
        <v>-93.290700000000001</v>
      </c>
      <c r="U83">
        <v>-46.599200000000003</v>
      </c>
    </row>
    <row r="84" spans="1:21" x14ac:dyDescent="0.35">
      <c r="A84" t="s">
        <v>90</v>
      </c>
      <c r="B84">
        <v>-117.2389</v>
      </c>
      <c r="C84">
        <v>-93.539000000000001</v>
      </c>
      <c r="D84">
        <v>-103.9915</v>
      </c>
      <c r="E84">
        <v>-113.77330000000001</v>
      </c>
      <c r="F84">
        <v>-76.065200000000004</v>
      </c>
      <c r="G84">
        <v>-110.3578</v>
      </c>
      <c r="H84">
        <v>-91.314499999999995</v>
      </c>
      <c r="I84">
        <v>-45.054299999999998</v>
      </c>
      <c r="K84" s="1" t="s">
        <v>90</v>
      </c>
      <c r="L84">
        <v>-89.4</v>
      </c>
      <c r="M84">
        <v>-119.4033</v>
      </c>
      <c r="N84">
        <v>-95.491900000000001</v>
      </c>
      <c r="O84">
        <v>-106.1451</v>
      </c>
      <c r="P84">
        <v>-77.734800000000007</v>
      </c>
      <c r="Q84">
        <v>-112.3886</v>
      </c>
      <c r="R84">
        <v>-116.2461</v>
      </c>
      <c r="S84">
        <v>-112.3886</v>
      </c>
      <c r="T84">
        <v>-93.769000000000005</v>
      </c>
      <c r="U84">
        <v>-47.547199999999997</v>
      </c>
    </row>
    <row r="85" spans="1:21" x14ac:dyDescent="0.35">
      <c r="A85" t="s">
        <v>91</v>
      </c>
      <c r="B85">
        <v>-116.1512</v>
      </c>
      <c r="C85">
        <v>-92.491299999999995</v>
      </c>
      <c r="D85">
        <v>-103.0331</v>
      </c>
      <c r="E85">
        <v>-112.3155</v>
      </c>
      <c r="F85">
        <v>-74.797600000000003</v>
      </c>
      <c r="G85">
        <v>-107.5997</v>
      </c>
      <c r="H85">
        <v>-90.308700000000002</v>
      </c>
      <c r="I85">
        <v>-44.334000000000003</v>
      </c>
      <c r="K85" s="1" t="s">
        <v>91</v>
      </c>
      <c r="L85">
        <v>-89.8</v>
      </c>
      <c r="M85">
        <v>-118.5064</v>
      </c>
      <c r="N85">
        <v>-94.651300000000006</v>
      </c>
      <c r="O85">
        <v>-105.4564</v>
      </c>
      <c r="P85">
        <v>-76.445300000000003</v>
      </c>
      <c r="Q85">
        <v>-108.1755</v>
      </c>
      <c r="R85">
        <v>-114.521</v>
      </c>
      <c r="S85">
        <v>-108.1755</v>
      </c>
      <c r="T85">
        <v>-92.744600000000005</v>
      </c>
      <c r="U85">
        <v>-46.602899999999998</v>
      </c>
    </row>
    <row r="86" spans="1:21" x14ac:dyDescent="0.35">
      <c r="A86" t="s">
        <v>92</v>
      </c>
      <c r="B86">
        <v>-82.849500000000006</v>
      </c>
      <c r="C86">
        <v>-68.241200000000006</v>
      </c>
      <c r="D86">
        <v>-76.862899999999996</v>
      </c>
      <c r="E86">
        <v>-79.743899999999996</v>
      </c>
      <c r="F86">
        <v>-54.020800000000001</v>
      </c>
      <c r="G86">
        <v>-73.6464</v>
      </c>
      <c r="H86">
        <v>-70.209500000000006</v>
      </c>
      <c r="I86">
        <v>-41.347200000000001</v>
      </c>
      <c r="K86" s="1" t="s">
        <v>92</v>
      </c>
      <c r="L86">
        <v>-59.5</v>
      </c>
      <c r="M86">
        <v>-89.054100000000005</v>
      </c>
      <c r="N86">
        <v>-73.851299999999995</v>
      </c>
      <c r="O86">
        <v>-83.126800000000003</v>
      </c>
      <c r="P86">
        <v>-58.409199999999998</v>
      </c>
      <c r="Q86">
        <v>-77.581999999999994</v>
      </c>
      <c r="R86">
        <v>-85.502399999999994</v>
      </c>
      <c r="S86">
        <v>-77.581999999999994</v>
      </c>
      <c r="T86">
        <v>-76.786100000000005</v>
      </c>
      <c r="U86">
        <v>-48.072400000000002</v>
      </c>
    </row>
    <row r="87" spans="1:21" x14ac:dyDescent="0.35">
      <c r="A87" t="s">
        <v>93</v>
      </c>
      <c r="B87">
        <v>-81.825999999999993</v>
      </c>
      <c r="C87">
        <v>-67.508700000000005</v>
      </c>
      <c r="D87">
        <v>-76.073999999999998</v>
      </c>
      <c r="E87">
        <v>-77.731099999999998</v>
      </c>
      <c r="F87">
        <v>-52.991300000000003</v>
      </c>
      <c r="G87">
        <v>-68.302999999999997</v>
      </c>
      <c r="H87">
        <v>-68.871700000000004</v>
      </c>
      <c r="I87">
        <v>-39.784999999999997</v>
      </c>
      <c r="K87" s="1" t="s">
        <v>93</v>
      </c>
      <c r="L87">
        <v>-66.5</v>
      </c>
      <c r="M87">
        <v>-88.195899999999995</v>
      </c>
      <c r="N87">
        <v>-73.132300000000001</v>
      </c>
      <c r="O87">
        <v>-82.263599999999997</v>
      </c>
      <c r="P87">
        <v>-57.577399999999997</v>
      </c>
      <c r="Q87">
        <v>-76.120999999999995</v>
      </c>
      <c r="R87">
        <v>-85.373500000000007</v>
      </c>
      <c r="S87">
        <v>-76.120999999999995</v>
      </c>
      <c r="T87">
        <v>-75.790099999999995</v>
      </c>
      <c r="U87">
        <v>-46.997100000000003</v>
      </c>
    </row>
    <row r="88" spans="1:21" x14ac:dyDescent="0.35">
      <c r="A88" t="s">
        <v>94</v>
      </c>
      <c r="B88">
        <v>-83.264700000000005</v>
      </c>
      <c r="C88">
        <v>-68.581000000000003</v>
      </c>
      <c r="D88">
        <v>-77.244200000000006</v>
      </c>
      <c r="E88">
        <v>-79.515799999999999</v>
      </c>
      <c r="F88">
        <v>-54.275399999999998</v>
      </c>
      <c r="G88">
        <v>-74.537899999999993</v>
      </c>
      <c r="H88">
        <v>-70.999200000000002</v>
      </c>
      <c r="I88">
        <v>-42.497999999999998</v>
      </c>
      <c r="K88" s="1" t="s">
        <v>94</v>
      </c>
      <c r="L88">
        <v>-58.9</v>
      </c>
      <c r="M88">
        <v>-88.778499999999994</v>
      </c>
      <c r="N88">
        <v>-73.545500000000004</v>
      </c>
      <c r="O88">
        <v>-82.809700000000007</v>
      </c>
      <c r="P88">
        <v>-58.145899999999997</v>
      </c>
      <c r="Q88">
        <v>-78.944199999999995</v>
      </c>
      <c r="R88">
        <v>-85.505399999999995</v>
      </c>
      <c r="S88">
        <v>-78.944199999999995</v>
      </c>
      <c r="T88">
        <v>-76.936300000000003</v>
      </c>
      <c r="U88">
        <v>-48.661099999999998</v>
      </c>
    </row>
    <row r="89" spans="1:21" x14ac:dyDescent="0.35">
      <c r="A89" t="s">
        <v>95</v>
      </c>
      <c r="B89">
        <v>-81.770099999999999</v>
      </c>
      <c r="C89">
        <v>-67.198300000000003</v>
      </c>
      <c r="D89">
        <v>-75.724699999999999</v>
      </c>
      <c r="E89">
        <v>-77.7256</v>
      </c>
      <c r="F89">
        <v>-53.279200000000003</v>
      </c>
      <c r="G89">
        <v>-70.990799999999993</v>
      </c>
      <c r="H89">
        <v>-69.107600000000005</v>
      </c>
      <c r="I89">
        <v>-40.762099999999997</v>
      </c>
      <c r="K89" s="1" t="s">
        <v>95</v>
      </c>
      <c r="L89">
        <v>-64.400000000000006</v>
      </c>
      <c r="M89">
        <v>-86.795100000000005</v>
      </c>
      <c r="N89">
        <v>-71.668300000000002</v>
      </c>
      <c r="O89">
        <v>-80.832099999999997</v>
      </c>
      <c r="P89">
        <v>-56.585000000000001</v>
      </c>
      <c r="Q89">
        <v>-74.267499999999998</v>
      </c>
      <c r="R89">
        <v>-82.658500000000004</v>
      </c>
      <c r="S89">
        <v>-74.267499999999998</v>
      </c>
      <c r="T89">
        <v>-74.093599999999995</v>
      </c>
      <c r="U89">
        <v>-45.945599999999999</v>
      </c>
    </row>
    <row r="90" spans="1:21" x14ac:dyDescent="0.35">
      <c r="A90" t="s">
        <v>96</v>
      </c>
      <c r="B90">
        <v>-106.6972</v>
      </c>
      <c r="C90">
        <v>-87.758899999999997</v>
      </c>
      <c r="D90">
        <v>-98.330799999999996</v>
      </c>
      <c r="E90">
        <v>-104.1598</v>
      </c>
      <c r="F90">
        <v>-70.798100000000005</v>
      </c>
      <c r="G90">
        <v>-95.334599999999995</v>
      </c>
      <c r="H90">
        <v>-88.575000000000003</v>
      </c>
      <c r="I90">
        <v>-51.881300000000003</v>
      </c>
      <c r="K90" s="1" t="s">
        <v>96</v>
      </c>
      <c r="L90">
        <v>-71.900000000000006</v>
      </c>
      <c r="M90">
        <v>-108.8544</v>
      </c>
      <c r="N90">
        <v>-89.742900000000006</v>
      </c>
      <c r="O90">
        <v>-100.46080000000001</v>
      </c>
      <c r="P90">
        <v>-72.455699999999993</v>
      </c>
      <c r="Q90">
        <v>-96.019199999999998</v>
      </c>
      <c r="R90">
        <v>-106.5917</v>
      </c>
      <c r="S90">
        <v>-96.019199999999998</v>
      </c>
      <c r="T90">
        <v>-90.9589</v>
      </c>
      <c r="U90">
        <v>-54.286200000000001</v>
      </c>
    </row>
    <row r="91" spans="1:21" x14ac:dyDescent="0.35">
      <c r="A91" t="s">
        <v>97</v>
      </c>
      <c r="B91">
        <v>-107.1763</v>
      </c>
      <c r="C91">
        <v>-88.166499999999999</v>
      </c>
      <c r="D91">
        <v>-98.714100000000002</v>
      </c>
      <c r="E91">
        <v>-103.1339</v>
      </c>
      <c r="F91">
        <v>-71.376400000000004</v>
      </c>
      <c r="G91">
        <v>-98.8142</v>
      </c>
      <c r="H91">
        <v>-88.549800000000005</v>
      </c>
      <c r="I91">
        <v>-51.811700000000002</v>
      </c>
      <c r="K91" s="1" t="s">
        <v>97</v>
      </c>
      <c r="L91">
        <v>-76.5</v>
      </c>
      <c r="M91">
        <v>-108.8935</v>
      </c>
      <c r="N91">
        <v>-89.820700000000002</v>
      </c>
      <c r="O91">
        <v>-100.6036</v>
      </c>
      <c r="P91">
        <v>-72.749499999999998</v>
      </c>
      <c r="Q91">
        <v>-102.1347</v>
      </c>
      <c r="R91">
        <v>-105.0359</v>
      </c>
      <c r="S91">
        <v>-102.1347</v>
      </c>
      <c r="T91">
        <v>-90.632499999999993</v>
      </c>
      <c r="U91">
        <v>-54.109400000000001</v>
      </c>
    </row>
    <row r="92" spans="1:21" x14ac:dyDescent="0.35">
      <c r="A92" t="s">
        <v>98</v>
      </c>
      <c r="B92">
        <v>-105.63930000000001</v>
      </c>
      <c r="C92">
        <v>-86.453000000000003</v>
      </c>
      <c r="D92">
        <v>-96.872100000000003</v>
      </c>
      <c r="E92">
        <v>-101.6944</v>
      </c>
      <c r="F92">
        <v>-69.873800000000003</v>
      </c>
      <c r="G92">
        <v>-94.395300000000006</v>
      </c>
      <c r="H92">
        <v>-86.827600000000004</v>
      </c>
      <c r="I92">
        <v>-50.319600000000001</v>
      </c>
      <c r="K92" s="1" t="s">
        <v>98</v>
      </c>
      <c r="L92">
        <v>-70.7</v>
      </c>
      <c r="M92">
        <v>-108.12730000000001</v>
      </c>
      <c r="N92">
        <v>-88.837500000000006</v>
      </c>
      <c r="O92">
        <v>-99.596699999999998</v>
      </c>
      <c r="P92">
        <v>-71.871700000000004</v>
      </c>
      <c r="Q92">
        <v>-99.563900000000004</v>
      </c>
      <c r="R92">
        <v>-105.17619999999999</v>
      </c>
      <c r="S92">
        <v>-99.563900000000004</v>
      </c>
      <c r="T92">
        <v>-89.436000000000007</v>
      </c>
      <c r="U92">
        <v>-53.202399999999997</v>
      </c>
    </row>
    <row r="93" spans="1:21" x14ac:dyDescent="0.35">
      <c r="A93" t="s">
        <v>99</v>
      </c>
      <c r="B93">
        <v>-90.6571</v>
      </c>
      <c r="C93">
        <v>-70.543599999999998</v>
      </c>
      <c r="D93">
        <v>-78.212800000000001</v>
      </c>
      <c r="E93">
        <v>-86.574399999999997</v>
      </c>
      <c r="F93">
        <v>-57.749400000000001</v>
      </c>
      <c r="G93">
        <v>-80.977000000000004</v>
      </c>
      <c r="H93">
        <v>-68.151700000000005</v>
      </c>
      <c r="I93">
        <v>-26.519500000000001</v>
      </c>
      <c r="K93" s="1" t="s">
        <v>99</v>
      </c>
      <c r="L93">
        <v>-69.2</v>
      </c>
      <c r="M93">
        <v>-103.754</v>
      </c>
      <c r="N93">
        <v>-81.863299999999995</v>
      </c>
      <c r="O93">
        <v>-90.804599999999994</v>
      </c>
      <c r="P93">
        <v>-66.527799999999999</v>
      </c>
      <c r="Q93">
        <v>-95.851900000000001</v>
      </c>
      <c r="R93">
        <v>-101.0192</v>
      </c>
      <c r="S93">
        <v>-95.851900000000001</v>
      </c>
      <c r="T93">
        <v>-82.149900000000002</v>
      </c>
      <c r="U93">
        <v>-39.491500000000002</v>
      </c>
    </row>
    <row r="94" spans="1:21" x14ac:dyDescent="0.35">
      <c r="A94" t="s">
        <v>100</v>
      </c>
      <c r="B94">
        <v>-93.466999999999999</v>
      </c>
      <c r="C94">
        <v>-72.837400000000002</v>
      </c>
      <c r="D94">
        <v>-80.901499999999999</v>
      </c>
      <c r="E94">
        <v>-89.266199999999998</v>
      </c>
      <c r="F94">
        <v>-59.626199999999997</v>
      </c>
      <c r="G94">
        <v>-86.833399999999997</v>
      </c>
      <c r="H94">
        <v>-71.801500000000004</v>
      </c>
      <c r="I94">
        <v>-29.903700000000001</v>
      </c>
      <c r="K94" s="1" t="s">
        <v>100</v>
      </c>
      <c r="L94">
        <v>-63.7</v>
      </c>
      <c r="M94">
        <v>-102.3398</v>
      </c>
      <c r="N94">
        <v>-80.532700000000006</v>
      </c>
      <c r="O94">
        <v>-89.435299999999998</v>
      </c>
      <c r="P94">
        <v>-65.539900000000003</v>
      </c>
      <c r="Q94">
        <v>-96.072999999999993</v>
      </c>
      <c r="R94">
        <v>-99.519900000000007</v>
      </c>
      <c r="S94">
        <v>-96.072999999999993</v>
      </c>
      <c r="T94">
        <v>-81.185599999999994</v>
      </c>
      <c r="U94">
        <v>-38.828800000000001</v>
      </c>
    </row>
    <row r="95" spans="1:21" x14ac:dyDescent="0.35">
      <c r="A95" t="s">
        <v>101</v>
      </c>
      <c r="B95">
        <v>-95.563100000000006</v>
      </c>
      <c r="C95">
        <v>-74.701599999999999</v>
      </c>
      <c r="D95">
        <v>-83.010499999999993</v>
      </c>
      <c r="E95">
        <v>-91.561899999999994</v>
      </c>
      <c r="F95">
        <v>-60.6614</v>
      </c>
      <c r="G95">
        <v>-91.948999999999998</v>
      </c>
      <c r="H95">
        <v>-72.618200000000002</v>
      </c>
      <c r="I95">
        <v>-30.382200000000001</v>
      </c>
      <c r="K95" s="1" t="s">
        <v>101</v>
      </c>
      <c r="L95">
        <v>-63.6</v>
      </c>
      <c r="M95">
        <v>-101.777</v>
      </c>
      <c r="N95">
        <v>-80.088099999999997</v>
      </c>
      <c r="O95">
        <v>-89.119399999999999</v>
      </c>
      <c r="P95">
        <v>-65.127600000000001</v>
      </c>
      <c r="Q95">
        <v>-95.3142</v>
      </c>
      <c r="R95">
        <v>-98.355900000000005</v>
      </c>
      <c r="S95">
        <v>-95.3142</v>
      </c>
      <c r="T95">
        <v>-79.517300000000006</v>
      </c>
      <c r="U95">
        <v>-37.485100000000003</v>
      </c>
    </row>
    <row r="96" spans="1:21" x14ac:dyDescent="0.35">
      <c r="A96" t="s">
        <v>102</v>
      </c>
      <c r="B96">
        <v>-106.5896</v>
      </c>
      <c r="C96">
        <v>-85.994699999999995</v>
      </c>
      <c r="D96">
        <v>-96.787999999999997</v>
      </c>
      <c r="E96">
        <v>-104.3657</v>
      </c>
      <c r="F96">
        <v>-69.256500000000003</v>
      </c>
      <c r="G96">
        <v>-102.684</v>
      </c>
      <c r="H96">
        <v>-85.4983</v>
      </c>
      <c r="I96">
        <v>-44.110700000000001</v>
      </c>
      <c r="K96" s="1" t="s">
        <v>102</v>
      </c>
      <c r="L96">
        <v>-77</v>
      </c>
      <c r="M96">
        <v>-112.4024</v>
      </c>
      <c r="N96">
        <v>-91.087999999999994</v>
      </c>
      <c r="O96">
        <v>-102.411</v>
      </c>
      <c r="P96">
        <v>-73.416700000000006</v>
      </c>
      <c r="Q96">
        <v>-106.8903</v>
      </c>
      <c r="R96">
        <v>-110.2683</v>
      </c>
      <c r="S96">
        <v>-106.8903</v>
      </c>
      <c r="T96">
        <v>-91.732799999999997</v>
      </c>
      <c r="U96">
        <v>-50.523099999999999</v>
      </c>
    </row>
    <row r="97" spans="1:21" x14ac:dyDescent="0.35">
      <c r="A97" t="s">
        <v>103</v>
      </c>
      <c r="B97">
        <v>-103.17359999999999</v>
      </c>
      <c r="C97">
        <v>-82.7898</v>
      </c>
      <c r="D97">
        <v>-93.105599999999995</v>
      </c>
      <c r="E97">
        <v>-100.54340000000001</v>
      </c>
      <c r="F97">
        <v>-66.479200000000006</v>
      </c>
      <c r="G97">
        <v>-91.953800000000001</v>
      </c>
      <c r="H97">
        <v>-82.153899999999993</v>
      </c>
      <c r="I97">
        <v>-40.974800000000002</v>
      </c>
      <c r="K97" s="1" t="s">
        <v>103</v>
      </c>
      <c r="L97">
        <v>-78.099999999999994</v>
      </c>
      <c r="M97">
        <v>-111.1953</v>
      </c>
      <c r="N97">
        <v>-89.939099999999996</v>
      </c>
      <c r="O97">
        <v>-101.08540000000001</v>
      </c>
      <c r="P97">
        <v>-72.227000000000004</v>
      </c>
      <c r="Q97">
        <v>-100.41970000000001</v>
      </c>
      <c r="R97">
        <v>-107.89490000000001</v>
      </c>
      <c r="S97">
        <v>-100.41970000000001</v>
      </c>
      <c r="T97">
        <v>-90.522900000000007</v>
      </c>
      <c r="U97">
        <v>-49.123699999999999</v>
      </c>
    </row>
    <row r="98" spans="1:21" x14ac:dyDescent="0.35">
      <c r="A98" t="s">
        <v>104</v>
      </c>
      <c r="B98">
        <v>-106.8616</v>
      </c>
      <c r="C98">
        <v>-86.250799999999998</v>
      </c>
      <c r="D98">
        <v>-97.044700000000006</v>
      </c>
      <c r="E98">
        <v>-104.4884</v>
      </c>
      <c r="F98">
        <v>-69.049700000000001</v>
      </c>
      <c r="G98">
        <v>-98.048500000000004</v>
      </c>
      <c r="H98">
        <v>-85.510300000000001</v>
      </c>
      <c r="I98">
        <v>-44.080199999999998</v>
      </c>
      <c r="K98" s="1" t="s">
        <v>104</v>
      </c>
      <c r="L98">
        <v>-73.400000000000006</v>
      </c>
      <c r="M98">
        <v>-111.3467</v>
      </c>
      <c r="N98">
        <v>-90.191199999999995</v>
      </c>
      <c r="O98">
        <v>-101.4196</v>
      </c>
      <c r="P98">
        <v>-72.268299999999996</v>
      </c>
      <c r="Q98">
        <v>-101.7363</v>
      </c>
      <c r="R98">
        <v>-109.0415</v>
      </c>
      <c r="S98">
        <v>-101.7363</v>
      </c>
      <c r="T98">
        <v>-89.974999999999994</v>
      </c>
      <c r="U98">
        <v>-48.460500000000003</v>
      </c>
    </row>
    <row r="99" spans="1:21" x14ac:dyDescent="0.35">
      <c r="A99" t="s">
        <v>105</v>
      </c>
      <c r="B99">
        <v>-118.4995</v>
      </c>
      <c r="C99">
        <v>-97.533199999999994</v>
      </c>
      <c r="D99">
        <v>-110.07</v>
      </c>
      <c r="E99">
        <v>-113.6422</v>
      </c>
      <c r="F99">
        <v>-78.752799999999993</v>
      </c>
      <c r="G99">
        <v>-107.73009999999999</v>
      </c>
      <c r="H99">
        <v>-93.453199999999995</v>
      </c>
      <c r="I99">
        <v>-51.464500000000001</v>
      </c>
      <c r="K99" s="1" t="s">
        <v>105</v>
      </c>
      <c r="L99">
        <v>-87.6</v>
      </c>
      <c r="M99">
        <v>-124.2129</v>
      </c>
      <c r="N99">
        <v>-102.0556</v>
      </c>
      <c r="O99">
        <v>-115.07340000000001</v>
      </c>
      <c r="P99">
        <v>-80.958699999999993</v>
      </c>
      <c r="Q99">
        <v>-113.2724</v>
      </c>
      <c r="R99">
        <v>-119.3122</v>
      </c>
      <c r="S99">
        <v>-113.2724</v>
      </c>
      <c r="T99">
        <v>-100.0078</v>
      </c>
      <c r="U99">
        <v>-58.860999999999997</v>
      </c>
    </row>
    <row r="100" spans="1:21" x14ac:dyDescent="0.35">
      <c r="A100" t="s">
        <v>106</v>
      </c>
      <c r="B100">
        <v>-116.2598</v>
      </c>
      <c r="C100">
        <v>-95.207999999999998</v>
      </c>
      <c r="D100">
        <v>-107.5167</v>
      </c>
      <c r="E100">
        <v>-110.5304</v>
      </c>
      <c r="F100">
        <v>-75.694199999999995</v>
      </c>
      <c r="G100">
        <v>-105.92959999999999</v>
      </c>
      <c r="H100">
        <v>-91.468299999999999</v>
      </c>
      <c r="I100">
        <v>-49.936100000000003</v>
      </c>
      <c r="K100" s="1" t="s">
        <v>106</v>
      </c>
      <c r="L100">
        <v>-87.9</v>
      </c>
      <c r="M100">
        <v>-124.93810000000001</v>
      </c>
      <c r="N100">
        <v>-102.8409</v>
      </c>
      <c r="O100">
        <v>-116.09569999999999</v>
      </c>
      <c r="P100">
        <v>-81.637</v>
      </c>
      <c r="Q100">
        <v>-113.3785</v>
      </c>
      <c r="R100">
        <v>-120.486</v>
      </c>
      <c r="S100">
        <v>-113.3785</v>
      </c>
      <c r="T100">
        <v>-100.9139</v>
      </c>
      <c r="U100">
        <v>-58.967100000000002</v>
      </c>
    </row>
    <row r="101" spans="1:21" x14ac:dyDescent="0.35">
      <c r="A101" t="s">
        <v>107</v>
      </c>
      <c r="B101">
        <v>-116.145</v>
      </c>
      <c r="C101">
        <v>-94.996499999999997</v>
      </c>
      <c r="D101">
        <v>-107.10290000000001</v>
      </c>
      <c r="E101">
        <v>-109.56619999999999</v>
      </c>
      <c r="F101">
        <v>-75.270499999999998</v>
      </c>
      <c r="G101">
        <v>-105.6904</v>
      </c>
      <c r="H101">
        <v>-91.779499999999999</v>
      </c>
      <c r="I101">
        <v>-50.314500000000002</v>
      </c>
      <c r="K101" s="1" t="s">
        <v>107</v>
      </c>
      <c r="L101">
        <v>-87.1</v>
      </c>
      <c r="M101">
        <v>-124.16500000000001</v>
      </c>
      <c r="N101">
        <v>-102.0629</v>
      </c>
      <c r="O101">
        <v>-115.13200000000001</v>
      </c>
      <c r="P101">
        <v>-80.522099999999995</v>
      </c>
      <c r="Q101">
        <v>-113.5809</v>
      </c>
      <c r="R101">
        <v>-119.25279999999999</v>
      </c>
      <c r="S101">
        <v>-113.5809</v>
      </c>
      <c r="T101">
        <v>-100.3869</v>
      </c>
      <c r="U101">
        <v>-58.942700000000002</v>
      </c>
    </row>
    <row r="102" spans="1:21" x14ac:dyDescent="0.35">
      <c r="A102" t="s">
        <v>108</v>
      </c>
      <c r="B102">
        <v>-184.00880000000001</v>
      </c>
      <c r="C102">
        <v>-145.2713</v>
      </c>
      <c r="D102">
        <v>-162.79400000000001</v>
      </c>
      <c r="E102">
        <v>-176.8126</v>
      </c>
      <c r="F102">
        <v>-118.0462</v>
      </c>
      <c r="G102">
        <v>-182.05950000000001</v>
      </c>
      <c r="H102">
        <v>-123.00839999999999</v>
      </c>
      <c r="I102">
        <v>-43.676900000000003</v>
      </c>
      <c r="K102" s="1" t="s">
        <v>108</v>
      </c>
      <c r="L102">
        <v>-124.6</v>
      </c>
      <c r="M102">
        <v>-189.249</v>
      </c>
      <c r="N102">
        <v>-149.46469999999999</v>
      </c>
      <c r="O102">
        <v>-167.34110000000001</v>
      </c>
      <c r="P102">
        <v>-121.973</v>
      </c>
      <c r="Q102">
        <v>-186.00749999999999</v>
      </c>
      <c r="R102">
        <v>-184.06530000000001</v>
      </c>
      <c r="S102">
        <v>-186.00749999999999</v>
      </c>
      <c r="T102">
        <v>-128.77500000000001</v>
      </c>
      <c r="U102">
        <v>-49.920200000000001</v>
      </c>
    </row>
    <row r="103" spans="1:21" x14ac:dyDescent="0.35">
      <c r="A103" t="s">
        <v>109</v>
      </c>
      <c r="B103">
        <v>-177.9819</v>
      </c>
      <c r="C103">
        <v>-140.44450000000001</v>
      </c>
      <c r="D103">
        <v>-157.05590000000001</v>
      </c>
      <c r="E103">
        <v>-170.98070000000001</v>
      </c>
      <c r="F103">
        <v>-114.8733</v>
      </c>
      <c r="G103">
        <v>-163.55260000000001</v>
      </c>
      <c r="H103">
        <v>-117.35209999999999</v>
      </c>
      <c r="I103">
        <v>-38.944499999999998</v>
      </c>
      <c r="K103" s="1" t="s">
        <v>109</v>
      </c>
      <c r="L103">
        <v>-129.5</v>
      </c>
      <c r="M103">
        <v>-189.62350000000001</v>
      </c>
      <c r="N103">
        <v>-149.74600000000001</v>
      </c>
      <c r="O103">
        <v>-167.40819999999999</v>
      </c>
      <c r="P103">
        <v>-122.248</v>
      </c>
      <c r="Q103">
        <v>-180.90479999999999</v>
      </c>
      <c r="R103">
        <v>-183.97749999999999</v>
      </c>
      <c r="S103">
        <v>-180.90479999999999</v>
      </c>
      <c r="T103">
        <v>-128.91560000000001</v>
      </c>
      <c r="U103">
        <v>-49.06</v>
      </c>
    </row>
    <row r="104" spans="1:21" x14ac:dyDescent="0.35">
      <c r="A104" t="s">
        <v>110</v>
      </c>
      <c r="B104">
        <v>-181.50399999999999</v>
      </c>
      <c r="C104">
        <v>-143.35560000000001</v>
      </c>
      <c r="D104">
        <v>-160.61949999999999</v>
      </c>
      <c r="E104">
        <v>-174.2269</v>
      </c>
      <c r="F104">
        <v>-117.1009</v>
      </c>
      <c r="G104">
        <v>-169.523</v>
      </c>
      <c r="H104">
        <v>-120.7428</v>
      </c>
      <c r="I104">
        <v>-41.155500000000004</v>
      </c>
      <c r="K104" s="1" t="s">
        <v>110</v>
      </c>
      <c r="L104">
        <v>-117.6</v>
      </c>
      <c r="M104">
        <v>-188.5711</v>
      </c>
      <c r="N104">
        <v>-148.89320000000001</v>
      </c>
      <c r="O104">
        <v>-166.9528</v>
      </c>
      <c r="P104">
        <v>-121.57250000000001</v>
      </c>
      <c r="Q104">
        <v>-178.86179999999999</v>
      </c>
      <c r="R104">
        <v>-183.2929</v>
      </c>
      <c r="S104">
        <v>-178.86179999999999</v>
      </c>
      <c r="T104">
        <v>-127.63039999999999</v>
      </c>
      <c r="U104">
        <v>-48.4574</v>
      </c>
    </row>
    <row r="105" spans="1:21" x14ac:dyDescent="0.35">
      <c r="A105" t="s">
        <v>111</v>
      </c>
      <c r="B105">
        <v>-182.81020000000001</v>
      </c>
      <c r="C105">
        <v>-144.4967</v>
      </c>
      <c r="D105">
        <v>-161.99860000000001</v>
      </c>
      <c r="E105">
        <v>-175.76830000000001</v>
      </c>
      <c r="F105">
        <v>-118.10599999999999</v>
      </c>
      <c r="G105">
        <v>-174.1234</v>
      </c>
      <c r="H105">
        <v>-122.12</v>
      </c>
      <c r="I105">
        <v>-42.381300000000003</v>
      </c>
      <c r="K105" s="1" t="s">
        <v>111</v>
      </c>
      <c r="L105">
        <v>-116.6</v>
      </c>
      <c r="M105">
        <v>-188.39080000000001</v>
      </c>
      <c r="N105">
        <v>-148.9682</v>
      </c>
      <c r="O105">
        <v>-166.96619999999999</v>
      </c>
      <c r="P105">
        <v>-122.0928</v>
      </c>
      <c r="Q105">
        <v>-179.2405</v>
      </c>
      <c r="R105">
        <v>-183.09710000000001</v>
      </c>
      <c r="S105">
        <v>-179.2405</v>
      </c>
      <c r="T105">
        <v>-128.03980000000001</v>
      </c>
      <c r="U105">
        <v>-48.577199999999998</v>
      </c>
    </row>
    <row r="106" spans="1:21" x14ac:dyDescent="0.35">
      <c r="A106" t="s">
        <v>112</v>
      </c>
      <c r="B106">
        <v>-181.49160000000001</v>
      </c>
      <c r="C106">
        <v>-143.14750000000001</v>
      </c>
      <c r="D106">
        <v>-160.42699999999999</v>
      </c>
      <c r="E106">
        <v>-175.2329</v>
      </c>
      <c r="F106">
        <v>-116.4858</v>
      </c>
      <c r="G106">
        <v>-172.60050000000001</v>
      </c>
      <c r="H106">
        <v>-121.0389</v>
      </c>
      <c r="I106">
        <v>-41.721800000000002</v>
      </c>
      <c r="K106" s="1" t="s">
        <v>112</v>
      </c>
      <c r="L106">
        <v>-115.3</v>
      </c>
      <c r="M106">
        <v>-187.99700000000001</v>
      </c>
      <c r="N106">
        <v>-148.39160000000001</v>
      </c>
      <c r="O106">
        <v>-166.32640000000001</v>
      </c>
      <c r="P106">
        <v>-120.84099999999999</v>
      </c>
      <c r="Q106">
        <v>-176.7543</v>
      </c>
      <c r="R106">
        <v>-181.18969999999999</v>
      </c>
      <c r="S106">
        <v>-176.7543</v>
      </c>
      <c r="T106">
        <v>-127.4871</v>
      </c>
      <c r="U106">
        <v>-48.162300000000002</v>
      </c>
    </row>
    <row r="107" spans="1:21" x14ac:dyDescent="0.35">
      <c r="A107" t="s">
        <v>113</v>
      </c>
      <c r="B107">
        <v>-175.0232</v>
      </c>
      <c r="C107">
        <v>-138.09899999999999</v>
      </c>
      <c r="D107">
        <v>-154.7055</v>
      </c>
      <c r="E107">
        <v>-167.8176</v>
      </c>
      <c r="F107">
        <v>-112.9371</v>
      </c>
      <c r="G107">
        <v>-175.1086</v>
      </c>
      <c r="H107">
        <v>-114.58450000000001</v>
      </c>
      <c r="I107">
        <v>-38.119799999999998</v>
      </c>
      <c r="K107" s="1" t="s">
        <v>113</v>
      </c>
      <c r="L107">
        <v>-118.8</v>
      </c>
      <c r="M107">
        <v>-188.7312</v>
      </c>
      <c r="N107">
        <v>-148.73519999999999</v>
      </c>
      <c r="O107">
        <v>-166.45930000000001</v>
      </c>
      <c r="P107">
        <v>-120.9046</v>
      </c>
      <c r="Q107">
        <v>-185.36500000000001</v>
      </c>
      <c r="R107">
        <v>-181.82810000000001</v>
      </c>
      <c r="S107">
        <v>-185.36500000000001</v>
      </c>
      <c r="T107">
        <v>-128.13579999999999</v>
      </c>
      <c r="U107">
        <v>-48.834600000000002</v>
      </c>
    </row>
    <row r="108" spans="1:21" x14ac:dyDescent="0.35">
      <c r="A108" t="s">
        <v>114</v>
      </c>
      <c r="B108">
        <v>-185.91929999999999</v>
      </c>
      <c r="C108">
        <v>-146.71190000000001</v>
      </c>
      <c r="D108">
        <v>-164.32169999999999</v>
      </c>
      <c r="E108">
        <v>-180.9281</v>
      </c>
      <c r="F108">
        <v>-119.7653</v>
      </c>
      <c r="G108">
        <v>-184.5752</v>
      </c>
      <c r="H108">
        <v>-126.5117</v>
      </c>
      <c r="I108">
        <v>-47.636400000000002</v>
      </c>
      <c r="K108" s="1" t="s">
        <v>114</v>
      </c>
      <c r="L108">
        <v>-137.9</v>
      </c>
      <c r="M108">
        <v>-190.4462</v>
      </c>
      <c r="N108">
        <v>-150.80289999999999</v>
      </c>
      <c r="O108">
        <v>-168.94409999999999</v>
      </c>
      <c r="P108">
        <v>-122.919</v>
      </c>
      <c r="Q108">
        <v>-187.0249</v>
      </c>
      <c r="R108">
        <v>-185.85599999999999</v>
      </c>
      <c r="S108">
        <v>-187.0249</v>
      </c>
      <c r="T108">
        <v>-131.04740000000001</v>
      </c>
      <c r="U108">
        <v>-52.488399999999999</v>
      </c>
    </row>
    <row r="109" spans="1:21" x14ac:dyDescent="0.35">
      <c r="A109" t="s">
        <v>115</v>
      </c>
      <c r="B109">
        <v>-183.5975</v>
      </c>
      <c r="C109">
        <v>-144.68690000000001</v>
      </c>
      <c r="D109">
        <v>-161.71350000000001</v>
      </c>
      <c r="E109">
        <v>-178.97389999999999</v>
      </c>
      <c r="F109">
        <v>-117.81789999999999</v>
      </c>
      <c r="G109">
        <v>-177.54400000000001</v>
      </c>
      <c r="H109">
        <v>-123.5667</v>
      </c>
      <c r="I109">
        <v>-43.920299999999997</v>
      </c>
      <c r="K109" s="1" t="s">
        <v>115</v>
      </c>
      <c r="L109">
        <v>-137.80000000000001</v>
      </c>
      <c r="M109">
        <v>-191.3192</v>
      </c>
      <c r="N109">
        <v>-151.4067</v>
      </c>
      <c r="O109">
        <v>-169.30439999999999</v>
      </c>
      <c r="P109">
        <v>-123.22199999999999</v>
      </c>
      <c r="Q109">
        <v>-183.7955</v>
      </c>
      <c r="R109">
        <v>-187.37970000000001</v>
      </c>
      <c r="S109">
        <v>-183.7955</v>
      </c>
      <c r="T109">
        <v>-131.3956</v>
      </c>
      <c r="U109">
        <v>-51.015700000000002</v>
      </c>
    </row>
    <row r="110" spans="1:21" x14ac:dyDescent="0.35">
      <c r="A110" t="s">
        <v>116</v>
      </c>
      <c r="B110">
        <v>-181.51570000000001</v>
      </c>
      <c r="C110">
        <v>-142.8929</v>
      </c>
      <c r="D110">
        <v>-159.67850000000001</v>
      </c>
      <c r="E110">
        <v>-176.44649999999999</v>
      </c>
      <c r="F110">
        <v>-116.85469999999999</v>
      </c>
      <c r="G110">
        <v>-169.08529999999999</v>
      </c>
      <c r="H110">
        <v>-121.42919999999999</v>
      </c>
      <c r="I110">
        <v>-42.350999999999999</v>
      </c>
      <c r="K110" s="1" t="s">
        <v>116</v>
      </c>
      <c r="L110">
        <v>-125.3</v>
      </c>
      <c r="M110">
        <v>-190.1902</v>
      </c>
      <c r="N110">
        <v>-150.37370000000001</v>
      </c>
      <c r="O110">
        <v>-168.05500000000001</v>
      </c>
      <c r="P110">
        <v>-122.7927</v>
      </c>
      <c r="Q110">
        <v>-182.4171</v>
      </c>
      <c r="R110">
        <v>-185.4298</v>
      </c>
      <c r="S110">
        <v>-182.4171</v>
      </c>
      <c r="T110">
        <v>-130.78989999999999</v>
      </c>
      <c r="U110">
        <v>-50.858899999999998</v>
      </c>
    </row>
    <row r="111" spans="1:21" x14ac:dyDescent="0.35">
      <c r="A111" t="s">
        <v>117</v>
      </c>
      <c r="B111">
        <v>-180.97139999999999</v>
      </c>
      <c r="C111">
        <v>-142.38990000000001</v>
      </c>
      <c r="D111">
        <v>-159.3614</v>
      </c>
      <c r="E111">
        <v>-175.64179999999999</v>
      </c>
      <c r="F111">
        <v>-116.23569999999999</v>
      </c>
      <c r="G111">
        <v>-175.38079999999999</v>
      </c>
      <c r="H111">
        <v>-121.5626</v>
      </c>
      <c r="I111">
        <v>-43.1541</v>
      </c>
      <c r="K111" s="1" t="s">
        <v>117</v>
      </c>
      <c r="L111">
        <v>-124.8</v>
      </c>
      <c r="M111">
        <v>-189.7833</v>
      </c>
      <c r="N111">
        <v>-149.7123</v>
      </c>
      <c r="O111">
        <v>-167.44730000000001</v>
      </c>
      <c r="P111">
        <v>-121.8445</v>
      </c>
      <c r="Q111">
        <v>-182.75649999999999</v>
      </c>
      <c r="R111">
        <v>-185.184</v>
      </c>
      <c r="S111">
        <v>-182.75649999999999</v>
      </c>
      <c r="T111">
        <v>-129.7261</v>
      </c>
      <c r="U111">
        <v>-49.785400000000003</v>
      </c>
    </row>
    <row r="112" spans="1:21" x14ac:dyDescent="0.35">
      <c r="A112" t="s">
        <v>118</v>
      </c>
      <c r="B112">
        <v>-178.15969999999999</v>
      </c>
      <c r="C112">
        <v>-140.10480000000001</v>
      </c>
      <c r="D112">
        <v>-156.8203</v>
      </c>
      <c r="E112">
        <v>-171.1883</v>
      </c>
      <c r="F112">
        <v>-114.26009999999999</v>
      </c>
      <c r="G112">
        <v>-167.05609999999999</v>
      </c>
      <c r="H112">
        <v>-118.6147</v>
      </c>
      <c r="I112">
        <v>-40.5441</v>
      </c>
      <c r="K112" s="1" t="s">
        <v>118</v>
      </c>
      <c r="L112">
        <v>-126.5</v>
      </c>
      <c r="M112">
        <v>-190.0538</v>
      </c>
      <c r="N112">
        <v>-150.3108</v>
      </c>
      <c r="O112">
        <v>-168.2747</v>
      </c>
      <c r="P112">
        <v>-122.4896</v>
      </c>
      <c r="Q112">
        <v>-180.1052</v>
      </c>
      <c r="R112">
        <v>-186.0326</v>
      </c>
      <c r="S112">
        <v>-180.1052</v>
      </c>
      <c r="T112">
        <v>-130.43530000000001</v>
      </c>
      <c r="U112">
        <v>-51.081600000000002</v>
      </c>
    </row>
    <row r="113" spans="1:21" x14ac:dyDescent="0.35">
      <c r="A113" t="s">
        <v>119</v>
      </c>
      <c r="B113">
        <v>-181.97649999999999</v>
      </c>
      <c r="C113">
        <v>-143.20089999999999</v>
      </c>
      <c r="D113">
        <v>-160.28290000000001</v>
      </c>
      <c r="E113">
        <v>-176.51159999999999</v>
      </c>
      <c r="F113">
        <v>-116.4913</v>
      </c>
      <c r="G113">
        <v>-178.3186</v>
      </c>
      <c r="H113">
        <v>-122.3964</v>
      </c>
      <c r="I113">
        <v>-44.035299999999999</v>
      </c>
      <c r="K113" s="1" t="s">
        <v>119</v>
      </c>
      <c r="L113">
        <v>-126.6</v>
      </c>
      <c r="M113">
        <v>-190.45660000000001</v>
      </c>
      <c r="N113">
        <v>-150.38560000000001</v>
      </c>
      <c r="O113">
        <v>-168.30289999999999</v>
      </c>
      <c r="P113">
        <v>-122.11360000000001</v>
      </c>
      <c r="Q113">
        <v>-186.5797</v>
      </c>
      <c r="R113">
        <v>-186.1609</v>
      </c>
      <c r="S113">
        <v>-186.5797</v>
      </c>
      <c r="T113">
        <v>-131.0369</v>
      </c>
      <c r="U113">
        <v>-51.341200000000001</v>
      </c>
    </row>
    <row r="114" spans="1:21" x14ac:dyDescent="0.35">
      <c r="A114" t="s">
        <v>120</v>
      </c>
      <c r="B114">
        <v>-98.721400000000003</v>
      </c>
      <c r="C114">
        <v>-77.861900000000006</v>
      </c>
      <c r="D114">
        <v>-87.028700000000001</v>
      </c>
      <c r="E114">
        <v>-93.006299999999996</v>
      </c>
      <c r="F114">
        <v>-62.819000000000003</v>
      </c>
      <c r="G114">
        <v>-88.119900000000001</v>
      </c>
      <c r="H114">
        <v>-76.326099999999997</v>
      </c>
      <c r="I114">
        <v>-33.6098</v>
      </c>
      <c r="K114" s="1" t="s">
        <v>120</v>
      </c>
      <c r="L114">
        <v>-69.5</v>
      </c>
      <c r="M114">
        <v>-105.9205</v>
      </c>
      <c r="N114">
        <v>-84.365399999999994</v>
      </c>
      <c r="O114">
        <v>-94.492599999999996</v>
      </c>
      <c r="P114">
        <v>-68.078199999999995</v>
      </c>
      <c r="Q114">
        <v>-95.736000000000004</v>
      </c>
      <c r="R114">
        <v>-102.9312</v>
      </c>
      <c r="S114">
        <v>-95.736000000000004</v>
      </c>
      <c r="T114">
        <v>-84.725700000000003</v>
      </c>
      <c r="U114">
        <v>-42.7119</v>
      </c>
    </row>
    <row r="115" spans="1:21" x14ac:dyDescent="0.35">
      <c r="A115" t="s">
        <v>121</v>
      </c>
      <c r="B115">
        <v>-95.135300000000001</v>
      </c>
      <c r="C115">
        <v>-75.160799999999995</v>
      </c>
      <c r="D115">
        <v>-84.069000000000003</v>
      </c>
      <c r="E115">
        <v>-90.3994</v>
      </c>
      <c r="F115">
        <v>-61.153500000000001</v>
      </c>
      <c r="G115">
        <v>-86.504999999999995</v>
      </c>
      <c r="H115">
        <v>-72.063999999999993</v>
      </c>
      <c r="I115">
        <v>-29.904199999999999</v>
      </c>
      <c r="K115" s="1" t="s">
        <v>121</v>
      </c>
      <c r="L115">
        <v>-69.2</v>
      </c>
      <c r="M115">
        <v>-106.0394</v>
      </c>
      <c r="N115">
        <v>-84.666799999999995</v>
      </c>
      <c r="O115">
        <v>-94.836600000000004</v>
      </c>
      <c r="P115">
        <v>-68.6845</v>
      </c>
      <c r="Q115">
        <v>-95.924199999999999</v>
      </c>
      <c r="R115">
        <v>-102.4289</v>
      </c>
      <c r="S115">
        <v>-95.924199999999999</v>
      </c>
      <c r="T115">
        <v>-84.961399999999998</v>
      </c>
      <c r="U115">
        <v>-42.934800000000003</v>
      </c>
    </row>
    <row r="116" spans="1:21" x14ac:dyDescent="0.35">
      <c r="A116" t="s">
        <v>122</v>
      </c>
      <c r="B116">
        <v>-100.4194</v>
      </c>
      <c r="C116">
        <v>-79.363399999999999</v>
      </c>
      <c r="D116">
        <v>-88.745599999999996</v>
      </c>
      <c r="E116">
        <v>-96.514600000000002</v>
      </c>
      <c r="F116">
        <v>-64.713800000000006</v>
      </c>
      <c r="G116">
        <v>-94.7333</v>
      </c>
      <c r="H116">
        <v>-77.103800000000007</v>
      </c>
      <c r="I116">
        <v>-33.465800000000002</v>
      </c>
      <c r="K116" s="1" t="s">
        <v>122</v>
      </c>
      <c r="L116">
        <v>-74.900000000000006</v>
      </c>
      <c r="M116">
        <v>-106.7625</v>
      </c>
      <c r="N116">
        <v>-85.404200000000003</v>
      </c>
      <c r="O116">
        <v>-95.867599999999996</v>
      </c>
      <c r="P116">
        <v>-69.227199999999996</v>
      </c>
      <c r="Q116">
        <v>-100.62090000000001</v>
      </c>
      <c r="R116">
        <v>-104.6653</v>
      </c>
      <c r="S116">
        <v>-100.62090000000001</v>
      </c>
      <c r="T116">
        <v>-85.439499999999995</v>
      </c>
      <c r="U116">
        <v>-43.511499999999998</v>
      </c>
    </row>
    <row r="117" spans="1:21" x14ac:dyDescent="0.35">
      <c r="A117" t="s">
        <v>123</v>
      </c>
      <c r="B117">
        <v>-105.102</v>
      </c>
      <c r="C117">
        <v>-84.582400000000007</v>
      </c>
      <c r="D117">
        <v>-94.865899999999996</v>
      </c>
      <c r="E117">
        <v>-101.80500000000001</v>
      </c>
      <c r="F117">
        <v>-67.941999999999993</v>
      </c>
      <c r="G117">
        <v>-90.954899999999995</v>
      </c>
      <c r="H117">
        <v>-84.404600000000002</v>
      </c>
      <c r="I117">
        <v>-43.545200000000001</v>
      </c>
      <c r="K117" s="1" t="s">
        <v>123</v>
      </c>
      <c r="L117">
        <v>-75.900000000000006</v>
      </c>
      <c r="M117">
        <v>-110.2671</v>
      </c>
      <c r="N117">
        <v>-89.123099999999994</v>
      </c>
      <c r="O117">
        <v>-99.828199999999995</v>
      </c>
      <c r="P117">
        <v>-71.343800000000002</v>
      </c>
      <c r="Q117">
        <v>-97.078599999999994</v>
      </c>
      <c r="R117">
        <v>-106.8175</v>
      </c>
      <c r="S117">
        <v>-97.078599999999994</v>
      </c>
      <c r="T117">
        <v>-89.513499999999993</v>
      </c>
      <c r="U117">
        <v>-48.484400000000001</v>
      </c>
    </row>
    <row r="118" spans="1:21" x14ac:dyDescent="0.35">
      <c r="A118" t="s">
        <v>124</v>
      </c>
      <c r="B118">
        <v>-104.688</v>
      </c>
      <c r="C118">
        <v>-84.275400000000005</v>
      </c>
      <c r="D118">
        <v>-94.482600000000005</v>
      </c>
      <c r="E118">
        <v>-101.712</v>
      </c>
      <c r="F118">
        <v>-67.998099999999994</v>
      </c>
      <c r="G118">
        <v>-92.244600000000005</v>
      </c>
      <c r="H118">
        <v>-84.800299999999993</v>
      </c>
      <c r="I118">
        <v>-43.484000000000002</v>
      </c>
      <c r="K118" s="1" t="s">
        <v>124</v>
      </c>
      <c r="L118">
        <v>-73.400000000000006</v>
      </c>
      <c r="M118">
        <v>-110.3048</v>
      </c>
      <c r="N118">
        <v>-89.292500000000004</v>
      </c>
      <c r="O118">
        <v>-100.12430000000001</v>
      </c>
      <c r="P118">
        <v>-71.895099999999999</v>
      </c>
      <c r="Q118">
        <v>-95.294300000000007</v>
      </c>
      <c r="R118">
        <v>-107.6108</v>
      </c>
      <c r="S118">
        <v>-95.294300000000007</v>
      </c>
      <c r="T118">
        <v>-90.519599999999997</v>
      </c>
      <c r="U118">
        <v>-49.280299999999997</v>
      </c>
    </row>
    <row r="119" spans="1:21" x14ac:dyDescent="0.35">
      <c r="A119" t="s">
        <v>125</v>
      </c>
      <c r="B119">
        <v>-99.137900000000002</v>
      </c>
      <c r="C119">
        <v>-79.308099999999996</v>
      </c>
      <c r="D119">
        <v>-88.963499999999996</v>
      </c>
      <c r="E119">
        <v>-94.813699999999997</v>
      </c>
      <c r="F119">
        <v>-64.286199999999994</v>
      </c>
      <c r="G119">
        <v>-87.343000000000004</v>
      </c>
      <c r="H119">
        <v>-78.523099999999999</v>
      </c>
      <c r="I119">
        <v>-37.795499999999997</v>
      </c>
      <c r="K119" s="1" t="s">
        <v>125</v>
      </c>
      <c r="L119">
        <v>-73.900000000000006</v>
      </c>
      <c r="M119">
        <v>-109.73009999999999</v>
      </c>
      <c r="N119">
        <v>-88.637200000000007</v>
      </c>
      <c r="O119">
        <v>-99.395600000000002</v>
      </c>
      <c r="P119">
        <v>-71.021100000000004</v>
      </c>
      <c r="Q119">
        <v>-96.401399999999995</v>
      </c>
      <c r="R119">
        <v>-106.1199</v>
      </c>
      <c r="S119">
        <v>-96.401399999999995</v>
      </c>
      <c r="T119">
        <v>-89.365399999999994</v>
      </c>
      <c r="U119">
        <v>-48.296599999999998</v>
      </c>
    </row>
    <row r="120" spans="1:21" x14ac:dyDescent="0.35">
      <c r="A120" t="s">
        <v>126</v>
      </c>
      <c r="B120">
        <v>-101.1955</v>
      </c>
      <c r="C120">
        <v>-81.203199999999995</v>
      </c>
      <c r="D120">
        <v>-90.9726</v>
      </c>
      <c r="E120">
        <v>-99.121799999999993</v>
      </c>
      <c r="F120">
        <v>-65.610299999999995</v>
      </c>
      <c r="G120">
        <v>-95.906700000000001</v>
      </c>
      <c r="H120">
        <v>-80.476900000000001</v>
      </c>
      <c r="I120">
        <v>-39.314599999999999</v>
      </c>
      <c r="K120" s="1" t="s">
        <v>126</v>
      </c>
      <c r="L120">
        <v>-73.400000000000006</v>
      </c>
      <c r="M120">
        <v>-107.8135</v>
      </c>
      <c r="N120">
        <v>-86.969800000000006</v>
      </c>
      <c r="O120">
        <v>-97.410499999999999</v>
      </c>
      <c r="P120">
        <v>-70.260800000000003</v>
      </c>
      <c r="Q120">
        <v>-100.9537</v>
      </c>
      <c r="R120">
        <v>-106.20350000000001</v>
      </c>
      <c r="S120">
        <v>-100.9537</v>
      </c>
      <c r="T120">
        <v>-87.322699999999998</v>
      </c>
      <c r="U120">
        <v>-45.726599999999998</v>
      </c>
    </row>
    <row r="121" spans="1:21" x14ac:dyDescent="0.35">
      <c r="A121" t="s">
        <v>127</v>
      </c>
      <c r="B121">
        <v>-101.87730000000001</v>
      </c>
      <c r="C121">
        <v>-81.740099999999998</v>
      </c>
      <c r="D121">
        <v>-91.503900000000002</v>
      </c>
      <c r="E121">
        <v>-98.960700000000003</v>
      </c>
      <c r="F121">
        <v>-66.063699999999997</v>
      </c>
      <c r="G121">
        <v>-91.920400000000001</v>
      </c>
      <c r="H121">
        <v>-81.509900000000002</v>
      </c>
      <c r="I121">
        <v>-39.3596</v>
      </c>
      <c r="K121" s="1" t="s">
        <v>127</v>
      </c>
      <c r="L121">
        <v>-70.8</v>
      </c>
      <c r="M121">
        <v>-106.9603</v>
      </c>
      <c r="N121">
        <v>-86.223500000000001</v>
      </c>
      <c r="O121">
        <v>-96.524500000000003</v>
      </c>
      <c r="P121">
        <v>-70.057199999999995</v>
      </c>
      <c r="Q121">
        <v>-97.718100000000007</v>
      </c>
      <c r="R121">
        <v>-105.5536</v>
      </c>
      <c r="S121">
        <v>-97.718100000000007</v>
      </c>
      <c r="T121">
        <v>-86.415800000000004</v>
      </c>
      <c r="U121">
        <v>-44.666400000000003</v>
      </c>
    </row>
    <row r="122" spans="1:21" x14ac:dyDescent="0.35">
      <c r="A122" t="s">
        <v>128</v>
      </c>
      <c r="B122">
        <v>-104.8824</v>
      </c>
      <c r="C122">
        <v>-84.532700000000006</v>
      </c>
      <c r="D122">
        <v>-94.8005</v>
      </c>
      <c r="E122">
        <v>-102.08459999999999</v>
      </c>
      <c r="F122">
        <v>-68.477400000000003</v>
      </c>
      <c r="G122">
        <v>-102.5532</v>
      </c>
      <c r="H122">
        <v>-83.937799999999996</v>
      </c>
      <c r="I122">
        <v>-42.049599999999998</v>
      </c>
      <c r="K122" s="1" t="s">
        <v>128</v>
      </c>
      <c r="L122">
        <v>-74.900000000000006</v>
      </c>
      <c r="M122">
        <v>-107.0748</v>
      </c>
      <c r="N122">
        <v>-86.316400000000002</v>
      </c>
      <c r="O122">
        <v>-96.746600000000001</v>
      </c>
      <c r="P122">
        <v>-70.145300000000006</v>
      </c>
      <c r="Q122">
        <v>-104.18340000000001</v>
      </c>
      <c r="R122">
        <v>-104.6134</v>
      </c>
      <c r="S122">
        <v>-104.18340000000001</v>
      </c>
      <c r="T122">
        <v>-86.193600000000004</v>
      </c>
      <c r="U122">
        <v>-44.697000000000003</v>
      </c>
    </row>
    <row r="123" spans="1:21" x14ac:dyDescent="0.35">
      <c r="A123" t="s">
        <v>129</v>
      </c>
      <c r="B123">
        <v>-102.6238</v>
      </c>
      <c r="C123">
        <v>-82.086299999999994</v>
      </c>
      <c r="D123">
        <v>-91.83</v>
      </c>
      <c r="E123">
        <v>-99.557299999999998</v>
      </c>
      <c r="F123">
        <v>-66.880399999999995</v>
      </c>
      <c r="G123">
        <v>-87.520300000000006</v>
      </c>
      <c r="H123">
        <v>-82.070899999999995</v>
      </c>
      <c r="I123">
        <v>-40.016100000000002</v>
      </c>
      <c r="K123" s="1" t="s">
        <v>129</v>
      </c>
      <c r="L123">
        <v>-72.900000000000006</v>
      </c>
      <c r="M123">
        <v>-110.3189</v>
      </c>
      <c r="N123">
        <v>-89.1297</v>
      </c>
      <c r="O123">
        <v>-99.724500000000006</v>
      </c>
      <c r="P123">
        <v>-72.516800000000003</v>
      </c>
      <c r="Q123">
        <v>-98.984700000000004</v>
      </c>
      <c r="R123">
        <v>-106.4225</v>
      </c>
      <c r="S123">
        <v>-98.984700000000004</v>
      </c>
      <c r="T123">
        <v>-90.499499999999998</v>
      </c>
      <c r="U123">
        <v>-48.512700000000002</v>
      </c>
    </row>
    <row r="124" spans="1:21" x14ac:dyDescent="0.35">
      <c r="A124" t="s">
        <v>130</v>
      </c>
      <c r="B124">
        <v>-101.5262</v>
      </c>
      <c r="C124">
        <v>-80.935000000000002</v>
      </c>
      <c r="D124">
        <v>-90.497600000000006</v>
      </c>
      <c r="E124">
        <v>-97.150499999999994</v>
      </c>
      <c r="F124">
        <v>-65.772000000000006</v>
      </c>
      <c r="G124">
        <v>-86.090400000000002</v>
      </c>
      <c r="H124">
        <v>-80.715900000000005</v>
      </c>
      <c r="I124">
        <v>-38.5336</v>
      </c>
      <c r="K124" s="1" t="s">
        <v>130</v>
      </c>
      <c r="L124">
        <v>-74.900000000000006</v>
      </c>
      <c r="M124">
        <v>-109.74460000000001</v>
      </c>
      <c r="N124">
        <v>-88.317999999999998</v>
      </c>
      <c r="O124">
        <v>-98.772599999999997</v>
      </c>
      <c r="P124">
        <v>-71.799000000000007</v>
      </c>
      <c r="Q124">
        <v>-97.928799999999995</v>
      </c>
      <c r="R124">
        <v>-106.5218</v>
      </c>
      <c r="S124">
        <v>-97.928799999999995</v>
      </c>
      <c r="T124">
        <v>-89.163200000000003</v>
      </c>
      <c r="U124">
        <v>-46.858600000000003</v>
      </c>
    </row>
    <row r="125" spans="1:21" x14ac:dyDescent="0.35">
      <c r="A125" t="s">
        <v>131</v>
      </c>
      <c r="B125">
        <v>-104.3006</v>
      </c>
      <c r="C125">
        <v>-83.721299999999999</v>
      </c>
      <c r="D125">
        <v>-93.568799999999996</v>
      </c>
      <c r="E125">
        <v>-100.48950000000001</v>
      </c>
      <c r="F125">
        <v>-68.008600000000001</v>
      </c>
      <c r="G125">
        <v>-93.547600000000003</v>
      </c>
      <c r="H125">
        <v>-83.200900000000004</v>
      </c>
      <c r="I125">
        <v>-41.304099999999998</v>
      </c>
      <c r="K125" s="1" t="s">
        <v>131</v>
      </c>
      <c r="L125">
        <v>-67.400000000000006</v>
      </c>
      <c r="M125">
        <v>-110.11620000000001</v>
      </c>
      <c r="N125">
        <v>-88.993499999999997</v>
      </c>
      <c r="O125">
        <v>-99.427999999999997</v>
      </c>
      <c r="P125">
        <v>-72.410300000000007</v>
      </c>
      <c r="Q125">
        <v>-100.09739999999999</v>
      </c>
      <c r="R125">
        <v>-106.4933</v>
      </c>
      <c r="S125">
        <v>-100.09739999999999</v>
      </c>
      <c r="T125">
        <v>-88.698300000000003</v>
      </c>
      <c r="U125">
        <v>-46.994100000000003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25"/>
  <sheetViews>
    <sheetView workbookViewId="0">
      <selection activeCell="P2" sqref="P2:X2"/>
    </sheetView>
  </sheetViews>
  <sheetFormatPr defaultRowHeight="14.5" x14ac:dyDescent="0.35"/>
  <cols>
    <col min="7" max="7" width="9.1796875" style="19"/>
    <col min="19" max="19" width="9.1796875" style="18"/>
    <col min="23" max="24" width="10.81640625" customWidth="1"/>
  </cols>
  <sheetData>
    <row r="1" spans="1:24" x14ac:dyDescent="0.35">
      <c r="D1" t="s">
        <v>176</v>
      </c>
      <c r="P1" t="s">
        <v>177</v>
      </c>
    </row>
    <row r="2" spans="1:24" x14ac:dyDescent="0.35">
      <c r="C2" t="s">
        <v>0</v>
      </c>
      <c r="D2" t="s">
        <v>1</v>
      </c>
      <c r="E2" t="s">
        <v>2</v>
      </c>
      <c r="F2" t="s">
        <v>3</v>
      </c>
      <c r="G2" s="33" t="s">
        <v>4</v>
      </c>
      <c r="H2" t="s">
        <v>5</v>
      </c>
      <c r="I2" t="s">
        <v>6</v>
      </c>
      <c r="J2" t="s">
        <v>141</v>
      </c>
      <c r="K2" t="s">
        <v>7</v>
      </c>
      <c r="L2" t="s">
        <v>8</v>
      </c>
      <c r="N2" t="s">
        <v>168</v>
      </c>
      <c r="O2" t="s">
        <v>182</v>
      </c>
      <c r="P2" t="s">
        <v>142</v>
      </c>
      <c r="Q2" t="s">
        <v>143</v>
      </c>
      <c r="R2" t="s">
        <v>144</v>
      </c>
      <c r="S2" s="33" t="s">
        <v>145</v>
      </c>
      <c r="T2" t="s">
        <v>146</v>
      </c>
      <c r="U2" t="s">
        <v>147</v>
      </c>
      <c r="V2" t="s">
        <v>148</v>
      </c>
      <c r="W2" t="s">
        <v>149</v>
      </c>
      <c r="X2" t="s">
        <v>150</v>
      </c>
    </row>
    <row r="3" spans="1:24" x14ac:dyDescent="0.35">
      <c r="A3" s="1" t="s">
        <v>9</v>
      </c>
      <c r="B3" s="2">
        <f>-80.6</f>
        <v>-80.599999999999994</v>
      </c>
      <c r="C3" t="s">
        <v>9</v>
      </c>
      <c r="D3">
        <v>-100.0171</v>
      </c>
      <c r="E3">
        <v>-81.268500000000003</v>
      </c>
      <c r="F3">
        <v>-90.906700000000001</v>
      </c>
      <c r="G3">
        <v>-96.660899999999998</v>
      </c>
      <c r="H3">
        <v>-65.090100000000007</v>
      </c>
      <c r="I3">
        <v>-98.887900000000002</v>
      </c>
      <c r="J3">
        <v>-98.887900000000002</v>
      </c>
      <c r="K3">
        <v>-81.765600000000006</v>
      </c>
      <c r="L3">
        <v>-42.858199999999997</v>
      </c>
      <c r="M3" s="2"/>
      <c r="N3" s="1" t="s">
        <v>9</v>
      </c>
      <c r="O3" s="2">
        <f>-80.6</f>
        <v>-80.599999999999994</v>
      </c>
      <c r="P3">
        <v>-80.599999999999994</v>
      </c>
      <c r="Q3">
        <v>-101.4182</v>
      </c>
      <c r="R3">
        <v>-82.317800000000005</v>
      </c>
      <c r="S3">
        <v>-92.1738</v>
      </c>
      <c r="T3">
        <v>-98.223200000000006</v>
      </c>
      <c r="U3">
        <v>-65.870400000000004</v>
      </c>
      <c r="V3">
        <v>-100.12269999999999</v>
      </c>
      <c r="W3">
        <v>-82.551199999999994</v>
      </c>
      <c r="X3">
        <v>-44.381500000000003</v>
      </c>
    </row>
    <row r="4" spans="1:24" x14ac:dyDescent="0.35">
      <c r="A4" s="1" t="s">
        <v>10</v>
      </c>
      <c r="B4">
        <v>-75.3</v>
      </c>
      <c r="C4" t="s">
        <v>10</v>
      </c>
      <c r="D4">
        <v>-104.2801</v>
      </c>
      <c r="E4">
        <v>-80.904899999999998</v>
      </c>
      <c r="F4">
        <v>-89.586299999999994</v>
      </c>
      <c r="G4">
        <v>-97.099100000000007</v>
      </c>
      <c r="H4">
        <v>-65.798500000000004</v>
      </c>
      <c r="I4">
        <v>-100.9195</v>
      </c>
      <c r="J4">
        <v>-100.9195</v>
      </c>
      <c r="K4">
        <v>-81.583399999999997</v>
      </c>
      <c r="L4">
        <v>-29.461099999999998</v>
      </c>
      <c r="N4" s="1" t="s">
        <v>10</v>
      </c>
      <c r="O4">
        <v>-75.3</v>
      </c>
      <c r="P4">
        <v>-75.3</v>
      </c>
      <c r="Q4">
        <v>-104.9131</v>
      </c>
      <c r="R4">
        <v>-84.010199999999998</v>
      </c>
      <c r="S4">
        <v>-98.563999999999993</v>
      </c>
      <c r="T4">
        <v>-103.11799999999999</v>
      </c>
      <c r="U4">
        <v>-70.360500000000002</v>
      </c>
      <c r="V4">
        <v>-107.8211</v>
      </c>
      <c r="W4">
        <v>-87.389300000000006</v>
      </c>
      <c r="X4">
        <v>-40.158700000000003</v>
      </c>
    </row>
    <row r="5" spans="1:24" x14ac:dyDescent="0.35">
      <c r="A5" s="1" t="s">
        <v>11</v>
      </c>
      <c r="B5">
        <v>-57.2</v>
      </c>
      <c r="C5" t="s">
        <v>11</v>
      </c>
      <c r="D5">
        <v>-85.082400000000007</v>
      </c>
      <c r="E5">
        <v>-65.840999999999994</v>
      </c>
      <c r="F5">
        <v>-73.172399999999996</v>
      </c>
      <c r="G5">
        <v>-78.167199999999994</v>
      </c>
      <c r="H5">
        <v>-53.535499999999999</v>
      </c>
      <c r="I5">
        <v>-78.874099999999999</v>
      </c>
      <c r="J5">
        <v>-78.874099999999999</v>
      </c>
      <c r="K5">
        <v>-69.777199999999993</v>
      </c>
      <c r="L5">
        <v>-29.422499999999999</v>
      </c>
      <c r="N5" s="1" t="s">
        <v>11</v>
      </c>
      <c r="O5">
        <v>-57.2</v>
      </c>
      <c r="P5">
        <v>-57.2</v>
      </c>
      <c r="Q5">
        <v>-91.115700000000004</v>
      </c>
      <c r="R5">
        <v>-73.257599999999996</v>
      </c>
      <c r="S5">
        <v>-105.58929999999999</v>
      </c>
      <c r="T5">
        <v>-88.767899999999997</v>
      </c>
      <c r="U5">
        <v>-75.468299999999999</v>
      </c>
      <c r="V5">
        <v>-113.8326</v>
      </c>
      <c r="W5">
        <v>-94.411199999999994</v>
      </c>
      <c r="X5">
        <v>-40.832299999999996</v>
      </c>
    </row>
    <row r="6" spans="1:24" x14ac:dyDescent="0.35">
      <c r="A6" s="1" t="s">
        <v>12</v>
      </c>
      <c r="B6">
        <v>-72.599999999999994</v>
      </c>
      <c r="C6" t="s">
        <v>12</v>
      </c>
      <c r="D6">
        <v>-109.4422</v>
      </c>
      <c r="E6">
        <v>-88.156099999999995</v>
      </c>
      <c r="F6">
        <v>-98.411000000000001</v>
      </c>
      <c r="G6">
        <v>-103.59910000000001</v>
      </c>
      <c r="H6">
        <v>-71.787599999999998</v>
      </c>
      <c r="I6">
        <v>-104.84520000000001</v>
      </c>
      <c r="J6">
        <v>-104.84520000000001</v>
      </c>
      <c r="K6">
        <v>-87.251199999999997</v>
      </c>
      <c r="L6">
        <v>-41.524000000000001</v>
      </c>
      <c r="N6" s="1" t="s">
        <v>12</v>
      </c>
      <c r="O6">
        <v>-72.599999999999994</v>
      </c>
      <c r="P6">
        <v>-72.599999999999994</v>
      </c>
      <c r="Q6">
        <v>-111.5432</v>
      </c>
      <c r="R6">
        <v>-90.678299999999993</v>
      </c>
      <c r="S6">
        <v>-98.640799999999999</v>
      </c>
      <c r="T6">
        <v>-108.2628</v>
      </c>
      <c r="U6">
        <v>-69.931799999999996</v>
      </c>
      <c r="V6">
        <v>-103.99769999999999</v>
      </c>
      <c r="W6">
        <v>-87.067700000000002</v>
      </c>
      <c r="X6">
        <v>-47.736899999999999</v>
      </c>
    </row>
    <row r="7" spans="1:24" x14ac:dyDescent="0.35">
      <c r="A7" s="1" t="s">
        <v>13</v>
      </c>
      <c r="B7">
        <v>-67.3</v>
      </c>
      <c r="C7" t="s">
        <v>13</v>
      </c>
      <c r="D7">
        <v>-90.038700000000006</v>
      </c>
      <c r="E7">
        <v>-66.378100000000003</v>
      </c>
      <c r="F7">
        <v>-73.023899999999998</v>
      </c>
      <c r="G7">
        <v>-82.651399999999995</v>
      </c>
      <c r="H7">
        <v>-54.055799999999998</v>
      </c>
      <c r="I7">
        <v>-82.888300000000001</v>
      </c>
      <c r="J7">
        <v>-82.888300000000001</v>
      </c>
      <c r="K7">
        <v>-73.3904</v>
      </c>
      <c r="L7">
        <v>-27.379000000000001</v>
      </c>
      <c r="N7" s="1" t="s">
        <v>13</v>
      </c>
      <c r="O7">
        <v>-67.3</v>
      </c>
      <c r="P7">
        <v>-67.3</v>
      </c>
      <c r="Q7">
        <v>-91.751199999999997</v>
      </c>
      <c r="R7">
        <v>-71.412000000000006</v>
      </c>
      <c r="S7">
        <v>-100.8467</v>
      </c>
      <c r="T7">
        <v>-90.660799999999995</v>
      </c>
      <c r="U7">
        <v>-71.158199999999994</v>
      </c>
      <c r="V7">
        <v>-108.09010000000001</v>
      </c>
      <c r="W7">
        <v>-89.569199999999995</v>
      </c>
      <c r="X7">
        <v>-35.574599999999997</v>
      </c>
    </row>
    <row r="8" spans="1:24" x14ac:dyDescent="0.35">
      <c r="A8" s="1" t="s">
        <v>14</v>
      </c>
      <c r="B8">
        <v>-49</v>
      </c>
      <c r="C8" t="s">
        <v>14</v>
      </c>
      <c r="D8">
        <v>-88.661600000000007</v>
      </c>
      <c r="E8">
        <v>-72.871600000000001</v>
      </c>
      <c r="F8">
        <v>-81.479900000000001</v>
      </c>
      <c r="G8">
        <v>-85.455500000000001</v>
      </c>
      <c r="H8">
        <v>-59.932400000000001</v>
      </c>
      <c r="I8">
        <v>-87.933700000000002</v>
      </c>
      <c r="J8">
        <v>-87.933700000000002</v>
      </c>
      <c r="K8">
        <v>-72.0518</v>
      </c>
      <c r="L8">
        <v>-34.4071</v>
      </c>
      <c r="N8" s="1" t="s">
        <v>14</v>
      </c>
      <c r="O8">
        <v>-49</v>
      </c>
      <c r="P8">
        <v>-49</v>
      </c>
      <c r="Q8">
        <v>-92.107600000000005</v>
      </c>
      <c r="R8">
        <v>-75.453599999999994</v>
      </c>
      <c r="S8">
        <v>-79.100399999999993</v>
      </c>
      <c r="T8">
        <v>-90.825800000000001</v>
      </c>
      <c r="U8">
        <v>-55.257599999999996</v>
      </c>
      <c r="V8">
        <v>-82.588200000000001</v>
      </c>
      <c r="W8">
        <v>-70.534000000000006</v>
      </c>
      <c r="X8">
        <v>-42.978499999999997</v>
      </c>
    </row>
    <row r="9" spans="1:24" x14ac:dyDescent="0.35">
      <c r="A9" s="1" t="s">
        <v>15</v>
      </c>
      <c r="B9">
        <v>-76.900000000000006</v>
      </c>
      <c r="C9" t="s">
        <v>15</v>
      </c>
      <c r="D9">
        <v>-98.619399999999999</v>
      </c>
      <c r="E9">
        <v>-77.441900000000004</v>
      </c>
      <c r="F9">
        <v>-85.930099999999996</v>
      </c>
      <c r="G9">
        <v>-94.576899999999995</v>
      </c>
      <c r="H9">
        <v>-63.219299999999997</v>
      </c>
      <c r="I9">
        <v>-95.0839</v>
      </c>
      <c r="J9">
        <v>-95.0839</v>
      </c>
      <c r="K9">
        <v>-77.561999999999998</v>
      </c>
      <c r="L9">
        <v>-32.495600000000003</v>
      </c>
      <c r="N9" s="1" t="s">
        <v>15</v>
      </c>
      <c r="O9">
        <v>-76.900000000000006</v>
      </c>
      <c r="P9">
        <v>-76.900000000000006</v>
      </c>
      <c r="Q9">
        <v>-100.3916</v>
      </c>
      <c r="R9">
        <v>-79.094200000000001</v>
      </c>
      <c r="S9">
        <v>-105.42319999999999</v>
      </c>
      <c r="T9">
        <v>-97.249799999999993</v>
      </c>
      <c r="U9">
        <v>-76.644800000000004</v>
      </c>
      <c r="V9">
        <v>-117.0909</v>
      </c>
      <c r="W9">
        <v>-93.113100000000003</v>
      </c>
      <c r="X9">
        <v>-36.893300000000004</v>
      </c>
    </row>
    <row r="10" spans="1:24" x14ac:dyDescent="0.35">
      <c r="A10" s="1" t="s">
        <v>16</v>
      </c>
      <c r="B10">
        <v>-80.3</v>
      </c>
      <c r="C10" t="s">
        <v>16</v>
      </c>
      <c r="D10">
        <v>-107.37130000000001</v>
      </c>
      <c r="E10">
        <v>-86.434399999999997</v>
      </c>
      <c r="F10">
        <v>-97.216700000000003</v>
      </c>
      <c r="G10">
        <v>-104.7487</v>
      </c>
      <c r="H10">
        <v>-69.733900000000006</v>
      </c>
      <c r="I10">
        <v>-105.79259999999999</v>
      </c>
      <c r="J10">
        <v>-105.79259999999999</v>
      </c>
      <c r="K10">
        <v>-86.111699999999999</v>
      </c>
      <c r="L10">
        <v>-42.841099999999997</v>
      </c>
      <c r="N10" s="1" t="s">
        <v>16</v>
      </c>
      <c r="O10">
        <v>-80.3</v>
      </c>
      <c r="P10">
        <v>-80.3</v>
      </c>
      <c r="Q10">
        <v>-108.3305</v>
      </c>
      <c r="R10">
        <v>-87.592799999999997</v>
      </c>
      <c r="S10">
        <v>-80.426199999999994</v>
      </c>
      <c r="T10">
        <v>-107.1225</v>
      </c>
      <c r="U10">
        <v>-56.047499999999999</v>
      </c>
      <c r="V10">
        <v>-83.050200000000004</v>
      </c>
      <c r="W10">
        <v>-74.046599999999998</v>
      </c>
      <c r="X10">
        <v>-44.905500000000004</v>
      </c>
    </row>
    <row r="11" spans="1:24" x14ac:dyDescent="0.35">
      <c r="A11" s="1" t="s">
        <v>17</v>
      </c>
      <c r="B11">
        <v>-79.3</v>
      </c>
      <c r="C11" t="s">
        <v>17</v>
      </c>
      <c r="D11">
        <v>-112.714</v>
      </c>
      <c r="E11">
        <v>-90.3643</v>
      </c>
      <c r="F11">
        <v>-101.1397</v>
      </c>
      <c r="G11">
        <v>-107.3078</v>
      </c>
      <c r="H11">
        <v>-72.620400000000004</v>
      </c>
      <c r="I11">
        <v>-109.5851</v>
      </c>
      <c r="J11">
        <v>-109.5851</v>
      </c>
      <c r="K11">
        <v>-90.037999999999997</v>
      </c>
      <c r="L11">
        <v>-45.027000000000001</v>
      </c>
      <c r="N11" s="1" t="s">
        <v>17</v>
      </c>
      <c r="O11">
        <v>-79.3</v>
      </c>
      <c r="P11">
        <v>-79.3</v>
      </c>
      <c r="Q11">
        <v>-116.04989999999999</v>
      </c>
      <c r="R11">
        <v>-94.069199999999995</v>
      </c>
      <c r="S11">
        <v>-99.152100000000004</v>
      </c>
      <c r="T11">
        <v>-113.5365</v>
      </c>
      <c r="U11">
        <v>-71.249700000000004</v>
      </c>
      <c r="V11">
        <v>-105.5938</v>
      </c>
      <c r="W11">
        <v>-89.597499999999997</v>
      </c>
      <c r="X11">
        <v>-51.151899999999998</v>
      </c>
    </row>
    <row r="12" spans="1:24" x14ac:dyDescent="0.35">
      <c r="A12" s="1" t="s">
        <v>18</v>
      </c>
      <c r="B12">
        <v>-77.2</v>
      </c>
      <c r="C12" t="s">
        <v>18</v>
      </c>
      <c r="D12">
        <v>-105.0081</v>
      </c>
      <c r="E12">
        <v>-85.334900000000005</v>
      </c>
      <c r="F12">
        <v>-95.747399999999999</v>
      </c>
      <c r="G12">
        <v>-99.246700000000004</v>
      </c>
      <c r="H12">
        <v>-68.263199999999998</v>
      </c>
      <c r="I12">
        <v>-101.42529999999999</v>
      </c>
      <c r="J12">
        <v>-101.42529999999999</v>
      </c>
      <c r="K12">
        <v>-85.353099999999998</v>
      </c>
      <c r="L12">
        <v>-46.064300000000003</v>
      </c>
      <c r="N12" s="1" t="s">
        <v>18</v>
      </c>
      <c r="O12">
        <v>-77.2</v>
      </c>
      <c r="P12">
        <v>-77.2</v>
      </c>
      <c r="Q12">
        <v>-106.7697</v>
      </c>
      <c r="R12">
        <v>-87.804500000000004</v>
      </c>
      <c r="S12">
        <v>-94.218000000000004</v>
      </c>
      <c r="T12">
        <v>-102.7706</v>
      </c>
      <c r="U12">
        <v>-67.443399999999997</v>
      </c>
      <c r="V12">
        <v>-104.7299</v>
      </c>
      <c r="W12">
        <v>-83.131299999999996</v>
      </c>
      <c r="X12">
        <v>-48.966099999999997</v>
      </c>
    </row>
    <row r="13" spans="1:24" x14ac:dyDescent="0.35">
      <c r="A13" s="1" t="s">
        <v>19</v>
      </c>
      <c r="B13">
        <v>-82.4</v>
      </c>
      <c r="C13" t="s">
        <v>19</v>
      </c>
      <c r="D13">
        <v>-108.67700000000001</v>
      </c>
      <c r="E13">
        <v>-84.241600000000005</v>
      </c>
      <c r="F13">
        <v>-94.257900000000006</v>
      </c>
      <c r="G13">
        <v>-102.67359999999999</v>
      </c>
      <c r="H13">
        <v>-66.7376</v>
      </c>
      <c r="I13">
        <v>-103.1164</v>
      </c>
      <c r="J13">
        <v>-103.1164</v>
      </c>
      <c r="K13">
        <v>-87.484999999999999</v>
      </c>
      <c r="L13">
        <v>-40.4542</v>
      </c>
      <c r="N13" s="1" t="s">
        <v>19</v>
      </c>
      <c r="O13">
        <v>-82.4</v>
      </c>
      <c r="P13">
        <v>-82.4</v>
      </c>
      <c r="Q13">
        <v>-111.51609999999999</v>
      </c>
      <c r="R13">
        <v>-89.947800000000001</v>
      </c>
      <c r="S13">
        <v>-81.891400000000004</v>
      </c>
      <c r="T13">
        <v>-108.2864</v>
      </c>
      <c r="U13">
        <v>-58.9816</v>
      </c>
      <c r="V13">
        <v>-87.928200000000004</v>
      </c>
      <c r="W13">
        <v>-76.439599999999999</v>
      </c>
      <c r="X13">
        <v>-47.176299999999998</v>
      </c>
    </row>
    <row r="14" spans="1:24" x14ac:dyDescent="0.35">
      <c r="A14" s="1" t="s">
        <v>20</v>
      </c>
      <c r="B14">
        <v>-51.6</v>
      </c>
      <c r="C14" t="s">
        <v>20</v>
      </c>
      <c r="D14">
        <v>-85.160200000000003</v>
      </c>
      <c r="E14">
        <v>-68.914500000000004</v>
      </c>
      <c r="F14">
        <v>-76.987499999999997</v>
      </c>
      <c r="G14">
        <v>-78.029600000000002</v>
      </c>
      <c r="H14">
        <v>-54.511299999999999</v>
      </c>
      <c r="I14">
        <v>-80.396299999999997</v>
      </c>
      <c r="J14">
        <v>-80.396299999999997</v>
      </c>
      <c r="K14">
        <v>-68.8523</v>
      </c>
      <c r="L14">
        <v>-36.174199999999999</v>
      </c>
      <c r="N14" s="1" t="s">
        <v>20</v>
      </c>
      <c r="O14">
        <v>-51.6</v>
      </c>
      <c r="P14">
        <v>-51.6</v>
      </c>
      <c r="Q14">
        <v>-84.867000000000004</v>
      </c>
      <c r="R14">
        <v>-70.258399999999995</v>
      </c>
      <c r="S14">
        <v>-101.79730000000001</v>
      </c>
      <c r="T14">
        <v>-80.662099999999995</v>
      </c>
      <c r="U14">
        <v>-72.608199999999997</v>
      </c>
      <c r="V14">
        <v>-108.23560000000001</v>
      </c>
      <c r="W14">
        <v>-89.349900000000005</v>
      </c>
      <c r="X14">
        <v>-41.844000000000001</v>
      </c>
    </row>
    <row r="15" spans="1:24" x14ac:dyDescent="0.35">
      <c r="A15" s="1" t="s">
        <v>21</v>
      </c>
      <c r="B15">
        <v>-90.8</v>
      </c>
      <c r="C15" t="s">
        <v>21</v>
      </c>
      <c r="D15">
        <v>-118.6771</v>
      </c>
      <c r="E15">
        <v>-93.198700000000002</v>
      </c>
      <c r="F15">
        <v>-103.62560000000001</v>
      </c>
      <c r="G15">
        <v>-113.84180000000001</v>
      </c>
      <c r="H15">
        <v>-75.483199999999997</v>
      </c>
      <c r="I15">
        <v>-115.5335</v>
      </c>
      <c r="J15">
        <v>-115.5335</v>
      </c>
      <c r="K15">
        <v>-93.059700000000007</v>
      </c>
      <c r="L15">
        <v>-43.162300000000002</v>
      </c>
      <c r="N15" s="1" t="s">
        <v>21</v>
      </c>
      <c r="O15">
        <v>-90.8</v>
      </c>
      <c r="P15">
        <v>-90.8</v>
      </c>
      <c r="Q15">
        <v>-118.7701</v>
      </c>
      <c r="R15">
        <v>-94.806700000000006</v>
      </c>
      <c r="S15">
        <v>-79.080600000000004</v>
      </c>
      <c r="T15">
        <v>-115.1769</v>
      </c>
      <c r="U15">
        <v>-57.374600000000001</v>
      </c>
      <c r="V15">
        <v>-87.874499999999998</v>
      </c>
      <c r="W15">
        <v>-75.815600000000003</v>
      </c>
      <c r="X15">
        <v>-44.796399999999998</v>
      </c>
    </row>
    <row r="16" spans="1:24" x14ac:dyDescent="0.35">
      <c r="A16" s="1" t="s">
        <v>22</v>
      </c>
      <c r="B16">
        <v>-58.5</v>
      </c>
      <c r="C16" t="s">
        <v>22</v>
      </c>
      <c r="D16">
        <v>-81.891999999999996</v>
      </c>
      <c r="E16">
        <v>-66.298299999999998</v>
      </c>
      <c r="F16">
        <v>-74.747100000000003</v>
      </c>
      <c r="G16">
        <v>-76.626900000000006</v>
      </c>
      <c r="H16">
        <v>-52.770600000000002</v>
      </c>
      <c r="I16">
        <v>-77.594300000000004</v>
      </c>
      <c r="J16">
        <v>-77.594300000000004</v>
      </c>
      <c r="K16">
        <v>-69.6828</v>
      </c>
      <c r="L16">
        <v>-36.967300000000002</v>
      </c>
      <c r="N16" s="1" t="s">
        <v>22</v>
      </c>
      <c r="O16">
        <v>-58.5</v>
      </c>
      <c r="P16">
        <v>-58.5</v>
      </c>
      <c r="Q16">
        <v>-86.626300000000001</v>
      </c>
      <c r="R16">
        <v>-71.3245</v>
      </c>
      <c r="S16">
        <v>-84.9739</v>
      </c>
      <c r="T16">
        <v>-82.007900000000006</v>
      </c>
      <c r="U16">
        <v>-61.045000000000002</v>
      </c>
      <c r="V16">
        <v>-91.409400000000005</v>
      </c>
      <c r="W16">
        <v>-77.221999999999994</v>
      </c>
      <c r="X16">
        <v>-44.354999999999997</v>
      </c>
    </row>
    <row r="17" spans="1:24" x14ac:dyDescent="0.35">
      <c r="A17" s="1" t="s">
        <v>23</v>
      </c>
      <c r="B17">
        <v>-70.5</v>
      </c>
      <c r="C17" t="s">
        <v>23</v>
      </c>
      <c r="D17">
        <v>-106.7321</v>
      </c>
      <c r="E17">
        <v>-87.752499999999998</v>
      </c>
      <c r="F17">
        <v>-98.48</v>
      </c>
      <c r="G17">
        <v>-103.9349</v>
      </c>
      <c r="H17">
        <v>-70.729299999999995</v>
      </c>
      <c r="I17">
        <v>-104.9876</v>
      </c>
      <c r="J17">
        <v>-104.9876</v>
      </c>
      <c r="K17">
        <v>-89.310299999999998</v>
      </c>
      <c r="L17">
        <v>-50.768999999999998</v>
      </c>
      <c r="N17" s="1" t="s">
        <v>23</v>
      </c>
      <c r="O17">
        <v>-70.5</v>
      </c>
      <c r="P17">
        <v>-70.5</v>
      </c>
      <c r="Q17">
        <v>-107.5877</v>
      </c>
      <c r="R17">
        <v>-88.332099999999997</v>
      </c>
      <c r="S17">
        <v>-88.023799999999994</v>
      </c>
      <c r="T17">
        <v>-105.6403</v>
      </c>
      <c r="U17">
        <v>-63.7774</v>
      </c>
      <c r="V17">
        <v>-97.140100000000004</v>
      </c>
      <c r="W17">
        <v>-80.099900000000005</v>
      </c>
      <c r="X17">
        <v>-51.569499999999998</v>
      </c>
    </row>
    <row r="18" spans="1:24" x14ac:dyDescent="0.35">
      <c r="A18" s="1" t="s">
        <v>24</v>
      </c>
      <c r="B18">
        <v>-66.8</v>
      </c>
      <c r="C18" t="s">
        <v>24</v>
      </c>
      <c r="D18">
        <v>-97.100800000000007</v>
      </c>
      <c r="E18">
        <v>-75.754300000000001</v>
      </c>
      <c r="F18">
        <v>-83.719300000000004</v>
      </c>
      <c r="G18">
        <v>-93.281099999999995</v>
      </c>
      <c r="H18">
        <v>-62.424999999999997</v>
      </c>
      <c r="I18">
        <v>-94.136399999999995</v>
      </c>
      <c r="J18">
        <v>-94.136399999999995</v>
      </c>
      <c r="K18">
        <v>-75.735699999999994</v>
      </c>
      <c r="L18">
        <v>-28.557700000000001</v>
      </c>
      <c r="N18" s="1" t="s">
        <v>24</v>
      </c>
      <c r="O18">
        <v>-66.8</v>
      </c>
      <c r="P18">
        <v>-66.8</v>
      </c>
      <c r="Q18">
        <v>-100.9101</v>
      </c>
      <c r="R18">
        <v>-79.194999999999993</v>
      </c>
      <c r="S18">
        <v>-87.889099999999999</v>
      </c>
      <c r="T18">
        <v>-98.178700000000006</v>
      </c>
      <c r="U18">
        <v>-64.305300000000003</v>
      </c>
      <c r="V18">
        <v>-98.279600000000002</v>
      </c>
      <c r="W18">
        <v>-79.176500000000004</v>
      </c>
      <c r="X18">
        <v>-34.459600000000002</v>
      </c>
    </row>
    <row r="19" spans="1:24" x14ac:dyDescent="0.35">
      <c r="A19" s="1" t="s">
        <v>25</v>
      </c>
      <c r="B19">
        <v>-70</v>
      </c>
      <c r="C19" t="s">
        <v>25</v>
      </c>
      <c r="D19">
        <v>-110.7804</v>
      </c>
      <c r="E19">
        <v>-86.482399999999998</v>
      </c>
      <c r="F19">
        <v>-97.185400000000001</v>
      </c>
      <c r="G19">
        <v>-103.9708</v>
      </c>
      <c r="H19">
        <v>-69.713899999999995</v>
      </c>
      <c r="I19">
        <v>-104.9359</v>
      </c>
      <c r="J19">
        <v>-104.9359</v>
      </c>
      <c r="K19">
        <v>-88.839299999999994</v>
      </c>
      <c r="L19">
        <v>-40.453899999999997</v>
      </c>
      <c r="N19" s="1" t="s">
        <v>25</v>
      </c>
      <c r="O19">
        <v>-70</v>
      </c>
      <c r="P19">
        <v>-70</v>
      </c>
      <c r="Q19">
        <v>-111.0363</v>
      </c>
      <c r="R19">
        <v>-89.611099999999993</v>
      </c>
      <c r="S19">
        <v>-100.744</v>
      </c>
      <c r="T19">
        <v>-108.0167</v>
      </c>
      <c r="U19">
        <v>-71.475399999999993</v>
      </c>
      <c r="V19">
        <v>-108.48739999999999</v>
      </c>
      <c r="W19">
        <v>-89.796599999999998</v>
      </c>
      <c r="X19">
        <v>-46.673000000000002</v>
      </c>
    </row>
    <row r="20" spans="1:24" x14ac:dyDescent="0.35">
      <c r="A20" s="1" t="s">
        <v>26</v>
      </c>
      <c r="B20">
        <v>-88.3</v>
      </c>
      <c r="C20" t="s">
        <v>26</v>
      </c>
      <c r="D20">
        <v>-117.0074</v>
      </c>
      <c r="E20">
        <v>-97.479299999999995</v>
      </c>
      <c r="F20">
        <v>-110.0881</v>
      </c>
      <c r="G20">
        <v>-113.306</v>
      </c>
      <c r="H20">
        <v>-78.0501</v>
      </c>
      <c r="I20">
        <v>-113.49160000000001</v>
      </c>
      <c r="J20">
        <v>-113.49160000000001</v>
      </c>
      <c r="K20">
        <v>-93.469300000000004</v>
      </c>
      <c r="L20">
        <v>-49.373399999999997</v>
      </c>
      <c r="N20" s="1" t="s">
        <v>26</v>
      </c>
      <c r="O20">
        <v>-88.3</v>
      </c>
      <c r="P20">
        <v>-88.3</v>
      </c>
      <c r="Q20">
        <v>-123.5093</v>
      </c>
      <c r="R20">
        <v>-101.29940000000001</v>
      </c>
      <c r="S20">
        <v>-114.29389999999999</v>
      </c>
      <c r="T20">
        <v>-119.6315</v>
      </c>
      <c r="U20">
        <v>-80.190899999999999</v>
      </c>
      <c r="V20">
        <v>-119.2992</v>
      </c>
      <c r="W20">
        <v>-99.943299999999994</v>
      </c>
      <c r="X20">
        <v>-56.692</v>
      </c>
    </row>
    <row r="21" spans="1:24" x14ac:dyDescent="0.35">
      <c r="A21" s="1" t="s">
        <v>27</v>
      </c>
      <c r="B21">
        <v>-128.30000000000001</v>
      </c>
      <c r="C21" t="s">
        <v>27</v>
      </c>
      <c r="D21">
        <v>-185.59559999999999</v>
      </c>
      <c r="E21">
        <v>-145.69450000000001</v>
      </c>
      <c r="F21">
        <v>-162.32089999999999</v>
      </c>
      <c r="G21">
        <v>-176.08920000000001</v>
      </c>
      <c r="H21">
        <v>-119.51009999999999</v>
      </c>
      <c r="I21">
        <v>-183.75120000000001</v>
      </c>
      <c r="J21">
        <v>-183.75120000000001</v>
      </c>
      <c r="K21">
        <v>-124.5929</v>
      </c>
      <c r="L21">
        <v>-37.911900000000003</v>
      </c>
      <c r="N21" s="1" t="s">
        <v>29</v>
      </c>
      <c r="O21">
        <v>-67</v>
      </c>
      <c r="P21">
        <v>-67</v>
      </c>
      <c r="Q21">
        <v>-105.11490000000001</v>
      </c>
      <c r="R21">
        <v>-83.616200000000006</v>
      </c>
      <c r="S21">
        <v>-93.564400000000006</v>
      </c>
      <c r="T21">
        <v>-102.7984</v>
      </c>
      <c r="U21">
        <v>-67.614699999999999</v>
      </c>
      <c r="V21">
        <v>-103.0081</v>
      </c>
      <c r="W21">
        <v>-84.022999999999996</v>
      </c>
      <c r="X21">
        <v>-40.0428</v>
      </c>
    </row>
    <row r="22" spans="1:24" x14ac:dyDescent="0.35">
      <c r="A22" s="1" t="s">
        <v>28</v>
      </c>
      <c r="B22">
        <v>-136.80000000000001</v>
      </c>
      <c r="C22" t="s">
        <v>28</v>
      </c>
      <c r="D22">
        <v>-185.6095</v>
      </c>
      <c r="E22">
        <v>-147.5437</v>
      </c>
      <c r="F22">
        <v>-164.74340000000001</v>
      </c>
      <c r="G22">
        <v>-181.86590000000001</v>
      </c>
      <c r="H22">
        <v>-120.3317</v>
      </c>
      <c r="I22">
        <v>-186.9786</v>
      </c>
      <c r="J22">
        <v>-186.9786</v>
      </c>
      <c r="K22">
        <v>-124.7154</v>
      </c>
      <c r="L22">
        <v>-43.7485</v>
      </c>
      <c r="N22" s="1" t="s">
        <v>30</v>
      </c>
      <c r="O22">
        <v>-83.4</v>
      </c>
      <c r="P22">
        <v>-83.4</v>
      </c>
      <c r="Q22">
        <v>-110.4006</v>
      </c>
      <c r="R22">
        <v>-89.535300000000007</v>
      </c>
      <c r="S22">
        <v>-100.50660000000001</v>
      </c>
      <c r="T22">
        <v>-107.61539999999999</v>
      </c>
      <c r="U22">
        <v>-71.992500000000007</v>
      </c>
      <c r="V22">
        <v>-107.11750000000001</v>
      </c>
      <c r="W22">
        <v>-89.8857</v>
      </c>
      <c r="X22">
        <v>-47.922699999999999</v>
      </c>
    </row>
    <row r="23" spans="1:24" x14ac:dyDescent="0.35">
      <c r="A23" s="1" t="s">
        <v>29</v>
      </c>
      <c r="B23">
        <v>-67</v>
      </c>
      <c r="C23" t="s">
        <v>29</v>
      </c>
      <c r="D23">
        <v>-97.704700000000003</v>
      </c>
      <c r="E23">
        <v>-77.850499999999997</v>
      </c>
      <c r="F23">
        <v>-86.653400000000005</v>
      </c>
      <c r="G23">
        <v>-93.167500000000004</v>
      </c>
      <c r="H23">
        <v>-63.444800000000001</v>
      </c>
      <c r="I23">
        <v>-95.814599999999999</v>
      </c>
      <c r="J23">
        <v>-95.814599999999999</v>
      </c>
      <c r="K23">
        <v>-75.344399999999993</v>
      </c>
      <c r="L23">
        <v>-30.2927</v>
      </c>
      <c r="N23" s="1" t="s">
        <v>31</v>
      </c>
      <c r="O23">
        <v>-71.099999999999994</v>
      </c>
      <c r="P23">
        <v>-71.099999999999994</v>
      </c>
      <c r="Q23">
        <v>-106.41419999999999</v>
      </c>
      <c r="R23">
        <v>-85.679100000000005</v>
      </c>
      <c r="S23">
        <v>-96.018799999999999</v>
      </c>
      <c r="T23">
        <v>-104.4778</v>
      </c>
      <c r="U23">
        <v>-69.451599999999999</v>
      </c>
      <c r="V23">
        <v>-106.529</v>
      </c>
      <c r="W23">
        <v>-85.730400000000003</v>
      </c>
      <c r="X23">
        <v>-42.849699999999999</v>
      </c>
    </row>
    <row r="24" spans="1:24" x14ac:dyDescent="0.35">
      <c r="A24" s="1" t="s">
        <v>30</v>
      </c>
      <c r="B24">
        <v>-83.4</v>
      </c>
      <c r="C24" t="s">
        <v>30</v>
      </c>
      <c r="D24">
        <v>-110.0288</v>
      </c>
      <c r="E24">
        <v>-87.635300000000001</v>
      </c>
      <c r="F24">
        <v>-98.135999999999996</v>
      </c>
      <c r="G24">
        <v>-104.7688</v>
      </c>
      <c r="H24">
        <v>-70.7196</v>
      </c>
      <c r="I24">
        <v>-105.3505</v>
      </c>
      <c r="J24">
        <v>-105.3505</v>
      </c>
      <c r="K24">
        <v>-89.429599999999994</v>
      </c>
      <c r="L24">
        <v>-43.975499999999997</v>
      </c>
      <c r="N24" s="1" t="s">
        <v>32</v>
      </c>
      <c r="O24">
        <v>-74.2</v>
      </c>
      <c r="P24">
        <v>-74.2</v>
      </c>
      <c r="Q24">
        <v>-109.6835</v>
      </c>
      <c r="R24">
        <v>-88.349800000000002</v>
      </c>
      <c r="S24">
        <v>-98.879499999999993</v>
      </c>
      <c r="T24">
        <v>-106.4615</v>
      </c>
      <c r="U24">
        <v>-71.683099999999996</v>
      </c>
      <c r="V24">
        <v>-107.31440000000001</v>
      </c>
      <c r="W24">
        <v>-88.668700000000001</v>
      </c>
      <c r="X24">
        <v>-45.204799999999999</v>
      </c>
    </row>
    <row r="25" spans="1:24" x14ac:dyDescent="0.35">
      <c r="A25" s="1" t="s">
        <v>31</v>
      </c>
      <c r="B25">
        <v>-71.099999999999994</v>
      </c>
      <c r="C25" t="s">
        <v>31</v>
      </c>
      <c r="D25">
        <v>-105.47029999999999</v>
      </c>
      <c r="E25">
        <v>-82.789199999999994</v>
      </c>
      <c r="F25">
        <v>-92.5</v>
      </c>
      <c r="G25">
        <v>-100.2488</v>
      </c>
      <c r="H25">
        <v>-67.350300000000004</v>
      </c>
      <c r="I25">
        <v>-102.6814</v>
      </c>
      <c r="J25">
        <v>-102.6814</v>
      </c>
      <c r="K25">
        <v>-83.473500000000001</v>
      </c>
      <c r="L25">
        <v>-36.875</v>
      </c>
      <c r="N25" s="1" t="s">
        <v>33</v>
      </c>
      <c r="O25">
        <v>-77.400000000000006</v>
      </c>
      <c r="P25">
        <v>-77.400000000000006</v>
      </c>
      <c r="Q25">
        <v>-106.3711</v>
      </c>
      <c r="R25">
        <v>-85.896500000000003</v>
      </c>
      <c r="S25">
        <v>-94.418899999999994</v>
      </c>
      <c r="T25">
        <v>-105.10760000000001</v>
      </c>
      <c r="U25">
        <v>-67.386899999999997</v>
      </c>
      <c r="V25">
        <v>-94.180499999999995</v>
      </c>
      <c r="W25">
        <v>-84.060599999999994</v>
      </c>
      <c r="X25">
        <v>-42.837499999999999</v>
      </c>
    </row>
    <row r="26" spans="1:24" x14ac:dyDescent="0.35">
      <c r="A26" s="1" t="s">
        <v>32</v>
      </c>
      <c r="B26">
        <v>-74.2</v>
      </c>
      <c r="C26" t="s">
        <v>32</v>
      </c>
      <c r="D26">
        <v>-107.8921</v>
      </c>
      <c r="E26">
        <v>-84.468500000000006</v>
      </c>
      <c r="F26">
        <v>-94.360600000000005</v>
      </c>
      <c r="G26">
        <v>-100.59439999999999</v>
      </c>
      <c r="H26">
        <v>-68.732100000000003</v>
      </c>
      <c r="I26">
        <v>-102.4903</v>
      </c>
      <c r="J26">
        <v>-102.4903</v>
      </c>
      <c r="K26">
        <v>-86.399699999999996</v>
      </c>
      <c r="L26">
        <v>-39.617199999999997</v>
      </c>
      <c r="N26" s="1" t="s">
        <v>34</v>
      </c>
      <c r="O26">
        <v>-72.8</v>
      </c>
      <c r="P26">
        <v>-72.8</v>
      </c>
      <c r="Q26">
        <v>-105.965</v>
      </c>
      <c r="R26">
        <v>-85.492599999999996</v>
      </c>
      <c r="S26">
        <v>-93.174599999999998</v>
      </c>
      <c r="T26">
        <v>-105.0582</v>
      </c>
      <c r="U26">
        <v>-66.429299999999998</v>
      </c>
      <c r="V26">
        <v>-93.191800000000001</v>
      </c>
      <c r="W26">
        <v>-83.177599999999998</v>
      </c>
      <c r="X26">
        <v>-42.073799999999999</v>
      </c>
    </row>
    <row r="27" spans="1:24" x14ac:dyDescent="0.35">
      <c r="A27" s="1" t="s">
        <v>33</v>
      </c>
      <c r="B27">
        <v>-77.400000000000006</v>
      </c>
      <c r="C27" t="s">
        <v>33</v>
      </c>
      <c r="D27">
        <v>-106.3952</v>
      </c>
      <c r="E27">
        <v>-84.293499999999995</v>
      </c>
      <c r="F27">
        <v>-93.986699999999999</v>
      </c>
      <c r="G27">
        <v>-101.4984</v>
      </c>
      <c r="H27">
        <v>-67.990700000000004</v>
      </c>
      <c r="I27">
        <v>-99.576800000000006</v>
      </c>
      <c r="J27">
        <v>-99.576800000000006</v>
      </c>
      <c r="K27">
        <v>-83.713899999999995</v>
      </c>
      <c r="L27">
        <v>-37.544899999999998</v>
      </c>
      <c r="N27" s="1" t="s">
        <v>35</v>
      </c>
      <c r="O27">
        <v>-72.3</v>
      </c>
      <c r="P27">
        <v>-72.3</v>
      </c>
      <c r="Q27">
        <v>-107.4609</v>
      </c>
      <c r="R27">
        <v>-87.001000000000005</v>
      </c>
      <c r="S27">
        <v>-93.086100000000002</v>
      </c>
      <c r="T27">
        <v>-107.4507</v>
      </c>
      <c r="U27">
        <v>-66.725499999999997</v>
      </c>
      <c r="V27">
        <v>-94.621899999999997</v>
      </c>
      <c r="W27">
        <v>-83.149600000000007</v>
      </c>
      <c r="X27">
        <v>-44.193600000000004</v>
      </c>
    </row>
    <row r="28" spans="1:24" x14ac:dyDescent="0.35">
      <c r="A28" s="1" t="s">
        <v>34</v>
      </c>
      <c r="B28">
        <v>-72.8</v>
      </c>
      <c r="C28" t="s">
        <v>34</v>
      </c>
      <c r="D28">
        <v>-102.039</v>
      </c>
      <c r="E28">
        <v>-82.054900000000004</v>
      </c>
      <c r="F28">
        <v>-91.499600000000001</v>
      </c>
      <c r="G28">
        <v>-100.7723</v>
      </c>
      <c r="H28">
        <v>-67.136799999999994</v>
      </c>
      <c r="I28">
        <v>-93.428899999999999</v>
      </c>
      <c r="J28">
        <v>-93.428899999999999</v>
      </c>
      <c r="K28">
        <v>-79.958699999999993</v>
      </c>
      <c r="L28">
        <v>-36.340600000000002</v>
      </c>
      <c r="N28" s="1" t="s">
        <v>37</v>
      </c>
      <c r="O28">
        <v>-58.1</v>
      </c>
      <c r="P28">
        <v>-58.1</v>
      </c>
      <c r="Q28">
        <v>-91.749300000000005</v>
      </c>
      <c r="R28">
        <v>-74.166700000000006</v>
      </c>
      <c r="S28">
        <v>-93.757999999999996</v>
      </c>
      <c r="T28">
        <v>-104.5308</v>
      </c>
      <c r="U28">
        <v>-67.506299999999996</v>
      </c>
      <c r="V28">
        <v>-95.696700000000007</v>
      </c>
      <c r="W28">
        <v>-84.423199999999994</v>
      </c>
      <c r="X28">
        <v>-42.343400000000003</v>
      </c>
    </row>
    <row r="29" spans="1:24" x14ac:dyDescent="0.35">
      <c r="A29" s="1" t="s">
        <v>35</v>
      </c>
      <c r="B29">
        <v>-72.3</v>
      </c>
      <c r="C29" t="s">
        <v>35</v>
      </c>
      <c r="D29">
        <v>-98.1571</v>
      </c>
      <c r="E29">
        <v>-78.912899999999993</v>
      </c>
      <c r="F29">
        <v>-87.991500000000002</v>
      </c>
      <c r="G29">
        <v>-96.570300000000003</v>
      </c>
      <c r="H29">
        <v>-64.808999999999997</v>
      </c>
      <c r="I29">
        <v>-90.434399999999997</v>
      </c>
      <c r="J29">
        <v>-90.434399999999997</v>
      </c>
      <c r="K29">
        <v>-76.157399999999996</v>
      </c>
      <c r="L29">
        <v>-32.625799999999998</v>
      </c>
      <c r="N29" s="1" t="s">
        <v>38</v>
      </c>
      <c r="O29">
        <v>-57.4</v>
      </c>
      <c r="P29">
        <v>-57.4</v>
      </c>
      <c r="Q29">
        <v>-91.772199999999998</v>
      </c>
      <c r="R29">
        <v>-74.192499999999995</v>
      </c>
      <c r="S29">
        <v>-101.4936</v>
      </c>
      <c r="T29">
        <v>-88.275899999999993</v>
      </c>
      <c r="U29">
        <v>-72.640699999999995</v>
      </c>
      <c r="V29">
        <v>-106.7127</v>
      </c>
      <c r="W29">
        <v>-89.485399999999998</v>
      </c>
      <c r="X29">
        <v>-42.588799999999999</v>
      </c>
    </row>
    <row r="30" spans="1:24" x14ac:dyDescent="0.35">
      <c r="A30" s="1"/>
      <c r="C30" t="s">
        <v>36</v>
      </c>
      <c r="D30">
        <v>-101.7966</v>
      </c>
      <c r="E30">
        <v>-81.460400000000007</v>
      </c>
      <c r="F30">
        <v>-90.611999999999995</v>
      </c>
      <c r="G30">
        <v>-97.808400000000006</v>
      </c>
      <c r="H30">
        <v>-67.213700000000003</v>
      </c>
      <c r="I30">
        <v>-97.832599999999999</v>
      </c>
      <c r="J30">
        <v>-97.832599999999999</v>
      </c>
      <c r="K30">
        <v>-78.294399999999996</v>
      </c>
      <c r="L30">
        <v>-32.638199999999998</v>
      </c>
      <c r="N30" s="1" t="s">
        <v>39</v>
      </c>
      <c r="O30">
        <v>-63</v>
      </c>
      <c r="P30">
        <v>-63</v>
      </c>
      <c r="Q30">
        <v>-91.702699999999993</v>
      </c>
      <c r="R30">
        <v>-74.126099999999994</v>
      </c>
      <c r="S30">
        <v>-100.636</v>
      </c>
      <c r="T30">
        <v>-88.728399999999993</v>
      </c>
      <c r="U30">
        <v>-71.647199999999998</v>
      </c>
      <c r="V30">
        <v>-101.3203</v>
      </c>
      <c r="W30">
        <v>-89.130899999999997</v>
      </c>
      <c r="X30">
        <v>-42.435699999999997</v>
      </c>
    </row>
    <row r="31" spans="1:24" x14ac:dyDescent="0.35">
      <c r="A31" s="1" t="s">
        <v>37</v>
      </c>
      <c r="B31">
        <v>-58.1</v>
      </c>
      <c r="C31" t="s">
        <v>37</v>
      </c>
      <c r="D31">
        <v>-85.975800000000007</v>
      </c>
      <c r="E31">
        <v>-68.874899999999997</v>
      </c>
      <c r="F31">
        <v>-76.611900000000006</v>
      </c>
      <c r="G31">
        <v>-78.9071</v>
      </c>
      <c r="H31">
        <v>-55.355699999999999</v>
      </c>
      <c r="I31">
        <v>-78.767200000000003</v>
      </c>
      <c r="J31">
        <v>-78.767200000000003</v>
      </c>
      <c r="K31">
        <v>-69.571799999999996</v>
      </c>
      <c r="L31">
        <v>-33.527500000000003</v>
      </c>
      <c r="N31" s="1" t="s">
        <v>40</v>
      </c>
      <c r="O31">
        <v>-59.1</v>
      </c>
      <c r="P31">
        <v>-59.1</v>
      </c>
      <c r="Q31">
        <v>-91.845100000000002</v>
      </c>
      <c r="R31">
        <v>-74.337100000000007</v>
      </c>
      <c r="S31">
        <v>-101.4774</v>
      </c>
      <c r="T31">
        <v>-88.673900000000003</v>
      </c>
      <c r="U31">
        <v>-72.722499999999997</v>
      </c>
      <c r="V31">
        <v>-108.61409999999999</v>
      </c>
      <c r="W31">
        <v>-90.145899999999997</v>
      </c>
      <c r="X31">
        <v>-42.645400000000002</v>
      </c>
    </row>
    <row r="32" spans="1:24" x14ac:dyDescent="0.35">
      <c r="A32" s="1" t="s">
        <v>38</v>
      </c>
      <c r="B32">
        <v>-57.4</v>
      </c>
      <c r="C32" t="s">
        <v>38</v>
      </c>
      <c r="D32">
        <v>-87.372900000000001</v>
      </c>
      <c r="E32">
        <v>-70.352000000000004</v>
      </c>
      <c r="F32">
        <v>-78.453800000000001</v>
      </c>
      <c r="G32">
        <v>-82.542199999999994</v>
      </c>
      <c r="H32">
        <v>-56.450499999999998</v>
      </c>
      <c r="I32">
        <v>-77.222300000000004</v>
      </c>
      <c r="J32">
        <v>-77.222300000000004</v>
      </c>
      <c r="K32">
        <v>-71.983699999999999</v>
      </c>
      <c r="L32">
        <v>-36.3611</v>
      </c>
      <c r="N32" s="1" t="s">
        <v>41</v>
      </c>
      <c r="O32">
        <v>-58.9</v>
      </c>
      <c r="P32">
        <v>-58.9</v>
      </c>
      <c r="Q32">
        <v>-91.838200000000001</v>
      </c>
      <c r="R32">
        <v>-74.077399999999997</v>
      </c>
      <c r="S32">
        <v>-100.8999</v>
      </c>
      <c r="T32">
        <v>-88.330500000000001</v>
      </c>
      <c r="U32">
        <v>-72.853800000000007</v>
      </c>
      <c r="V32">
        <v>-104.5399</v>
      </c>
      <c r="W32">
        <v>-90.348500000000001</v>
      </c>
      <c r="X32">
        <v>-41.762099999999997</v>
      </c>
    </row>
    <row r="33" spans="1:24" x14ac:dyDescent="0.35">
      <c r="A33" s="1" t="s">
        <v>39</v>
      </c>
      <c r="B33">
        <v>-63</v>
      </c>
      <c r="C33" t="s">
        <v>39</v>
      </c>
      <c r="D33">
        <v>-87.541600000000003</v>
      </c>
      <c r="E33">
        <v>-70.495999999999995</v>
      </c>
      <c r="F33">
        <v>-78.614199999999997</v>
      </c>
      <c r="G33">
        <v>-82.587900000000005</v>
      </c>
      <c r="H33">
        <v>-56.974200000000003</v>
      </c>
      <c r="I33">
        <v>-76.534300000000002</v>
      </c>
      <c r="J33">
        <v>-76.534300000000002</v>
      </c>
      <c r="K33">
        <v>-72.188900000000004</v>
      </c>
      <c r="L33">
        <v>-36.148499999999999</v>
      </c>
      <c r="N33" s="1" t="s">
        <v>42</v>
      </c>
      <c r="O33">
        <v>-72.3</v>
      </c>
      <c r="P33">
        <v>-72.3</v>
      </c>
      <c r="Q33">
        <v>-114.5331</v>
      </c>
      <c r="R33">
        <v>-93.962599999999995</v>
      </c>
      <c r="S33">
        <v>-101.0282</v>
      </c>
      <c r="T33">
        <v>-88.456500000000005</v>
      </c>
      <c r="U33">
        <v>-72.749600000000001</v>
      </c>
      <c r="V33">
        <v>-99.908299999999997</v>
      </c>
      <c r="W33">
        <v>-90.2286</v>
      </c>
      <c r="X33">
        <v>-51.5702</v>
      </c>
    </row>
    <row r="34" spans="1:24" x14ac:dyDescent="0.35">
      <c r="A34" s="1" t="s">
        <v>40</v>
      </c>
      <c r="B34">
        <v>-59.1</v>
      </c>
      <c r="C34" t="s">
        <v>40</v>
      </c>
      <c r="D34">
        <v>-86.439800000000005</v>
      </c>
      <c r="E34">
        <v>-69.6755</v>
      </c>
      <c r="F34">
        <v>-77.739800000000002</v>
      </c>
      <c r="G34">
        <v>-80.403400000000005</v>
      </c>
      <c r="H34">
        <v>-56.197200000000002</v>
      </c>
      <c r="I34">
        <v>-77.963899999999995</v>
      </c>
      <c r="J34">
        <v>-77.963899999999995</v>
      </c>
      <c r="K34">
        <v>-69.994200000000006</v>
      </c>
      <c r="L34">
        <v>-33.562399999999997</v>
      </c>
      <c r="N34" s="1" t="s">
        <v>43</v>
      </c>
      <c r="O34">
        <v>-74</v>
      </c>
      <c r="P34">
        <v>-74</v>
      </c>
      <c r="Q34">
        <v>-114.2081</v>
      </c>
      <c r="R34">
        <v>-93.528099999999995</v>
      </c>
      <c r="S34">
        <v>-108.4213</v>
      </c>
      <c r="T34">
        <v>-112.3189</v>
      </c>
      <c r="U34">
        <v>-78.115499999999997</v>
      </c>
      <c r="V34">
        <v>-112.3086</v>
      </c>
      <c r="W34">
        <v>-96.735299999999995</v>
      </c>
      <c r="X34">
        <v>-51.110999999999997</v>
      </c>
    </row>
    <row r="35" spans="1:24" x14ac:dyDescent="0.35">
      <c r="A35" s="1" t="s">
        <v>41</v>
      </c>
      <c r="B35">
        <v>-58.9</v>
      </c>
      <c r="C35" t="s">
        <v>41</v>
      </c>
      <c r="D35">
        <v>-88.558599999999998</v>
      </c>
      <c r="E35">
        <v>-71.042000000000002</v>
      </c>
      <c r="F35">
        <v>-78.908299999999997</v>
      </c>
      <c r="G35">
        <v>-82.996600000000001</v>
      </c>
      <c r="H35">
        <v>-57.507899999999999</v>
      </c>
      <c r="I35">
        <v>-80.9255</v>
      </c>
      <c r="J35">
        <v>-80.9255</v>
      </c>
      <c r="K35">
        <v>-72.069299999999998</v>
      </c>
      <c r="L35">
        <v>-34.130400000000002</v>
      </c>
      <c r="N35" s="1" t="s">
        <v>44</v>
      </c>
      <c r="O35">
        <v>-75.2</v>
      </c>
      <c r="P35">
        <v>-75.2</v>
      </c>
      <c r="Q35">
        <v>-113.73309999999999</v>
      </c>
      <c r="R35">
        <v>-93.063900000000004</v>
      </c>
      <c r="S35">
        <v>-107.8871</v>
      </c>
      <c r="T35">
        <v>-111.3873</v>
      </c>
      <c r="U35">
        <v>-77.242999999999995</v>
      </c>
      <c r="V35">
        <v>-109.2814</v>
      </c>
      <c r="W35">
        <v>-96.355800000000002</v>
      </c>
      <c r="X35">
        <v>-50.867199999999997</v>
      </c>
    </row>
    <row r="36" spans="1:24" x14ac:dyDescent="0.35">
      <c r="A36" s="1" t="s">
        <v>42</v>
      </c>
      <c r="B36">
        <v>-72.3</v>
      </c>
      <c r="C36" t="s">
        <v>42</v>
      </c>
      <c r="D36">
        <v>-113.1254</v>
      </c>
      <c r="E36">
        <v>-92.418400000000005</v>
      </c>
      <c r="F36">
        <v>-103.4615</v>
      </c>
      <c r="G36">
        <v>-109.5809</v>
      </c>
      <c r="H36">
        <v>-74.414500000000004</v>
      </c>
      <c r="I36">
        <v>-105.9461</v>
      </c>
      <c r="J36">
        <v>-105.9461</v>
      </c>
      <c r="K36">
        <v>-89.841800000000006</v>
      </c>
      <c r="L36">
        <v>-47.6372</v>
      </c>
      <c r="P36">
        <v>-76.900000000000006</v>
      </c>
      <c r="Q36">
        <v>-113.42019999999999</v>
      </c>
      <c r="R36">
        <v>-92.766400000000004</v>
      </c>
      <c r="S36">
        <v>-106.9555</v>
      </c>
      <c r="T36">
        <v>-110.9783</v>
      </c>
      <c r="U36">
        <v>-76.176199999999994</v>
      </c>
      <c r="V36">
        <v>-111.4462</v>
      </c>
      <c r="W36">
        <v>-95.2654</v>
      </c>
      <c r="X36">
        <v>-49.581499999999998</v>
      </c>
    </row>
    <row r="37" spans="1:24" x14ac:dyDescent="0.35">
      <c r="A37" s="1" t="s">
        <v>43</v>
      </c>
      <c r="B37">
        <v>-74</v>
      </c>
      <c r="C37" t="s">
        <v>43</v>
      </c>
      <c r="D37">
        <v>-114.5429</v>
      </c>
      <c r="E37">
        <v>-93.565700000000007</v>
      </c>
      <c r="F37">
        <v>-104.4731</v>
      </c>
      <c r="G37">
        <v>-110.316</v>
      </c>
      <c r="H37">
        <v>-75.455299999999994</v>
      </c>
      <c r="I37">
        <v>-105.3797</v>
      </c>
      <c r="J37">
        <v>-105.3797</v>
      </c>
      <c r="K37">
        <v>-91.27</v>
      </c>
      <c r="L37">
        <v>-48.386299999999999</v>
      </c>
      <c r="N37" s="1" t="s">
        <v>46</v>
      </c>
      <c r="O37">
        <v>-69.400000000000006</v>
      </c>
      <c r="P37">
        <v>-69.400000000000006</v>
      </c>
      <c r="Q37">
        <v>-113.73609999999999</v>
      </c>
      <c r="R37">
        <v>-93.056100000000001</v>
      </c>
      <c r="S37">
        <v>-107.4624</v>
      </c>
      <c r="T37">
        <v>-110</v>
      </c>
      <c r="U37">
        <v>-76.662400000000005</v>
      </c>
      <c r="V37">
        <v>-112.9007</v>
      </c>
      <c r="W37">
        <v>-95.891499999999994</v>
      </c>
      <c r="X37">
        <v>-50.041699999999999</v>
      </c>
    </row>
    <row r="38" spans="1:24" x14ac:dyDescent="0.35">
      <c r="A38" s="1" t="s">
        <v>44</v>
      </c>
      <c r="B38">
        <v>-75.2</v>
      </c>
      <c r="C38" t="s">
        <v>44</v>
      </c>
      <c r="D38">
        <v>-112.4903</v>
      </c>
      <c r="E38">
        <v>-91.919300000000007</v>
      </c>
      <c r="F38">
        <v>-102.5753</v>
      </c>
      <c r="G38">
        <v>-106.05249999999999</v>
      </c>
      <c r="H38">
        <v>-74.773099999999999</v>
      </c>
      <c r="I38">
        <v>-101.5573</v>
      </c>
      <c r="J38">
        <v>-101.5573</v>
      </c>
      <c r="K38">
        <v>-88.861999999999995</v>
      </c>
      <c r="L38">
        <v>-46.104399999999998</v>
      </c>
      <c r="N38" s="1" t="s">
        <v>47</v>
      </c>
      <c r="O38">
        <v>-72.400000000000006</v>
      </c>
      <c r="P38">
        <v>-72.400000000000006</v>
      </c>
      <c r="Q38">
        <v>-113.20529999999999</v>
      </c>
      <c r="R38">
        <v>-92.507599999999996</v>
      </c>
      <c r="S38">
        <v>-106.9333</v>
      </c>
      <c r="T38">
        <v>-110.5585</v>
      </c>
      <c r="U38">
        <v>-76.293000000000006</v>
      </c>
      <c r="V38">
        <v>-106.7899</v>
      </c>
      <c r="W38">
        <v>-95.582599999999999</v>
      </c>
      <c r="X38">
        <v>-48.91</v>
      </c>
    </row>
    <row r="39" spans="1:24" x14ac:dyDescent="0.35">
      <c r="A39" s="1"/>
      <c r="C39" t="s">
        <v>45</v>
      </c>
      <c r="D39">
        <v>-112.92919999999999</v>
      </c>
      <c r="E39">
        <v>-92.243600000000001</v>
      </c>
      <c r="F39">
        <v>-103.17319999999999</v>
      </c>
      <c r="G39">
        <v>-108.8685</v>
      </c>
      <c r="H39">
        <v>-74.4833</v>
      </c>
      <c r="I39">
        <v>-99.176199999999994</v>
      </c>
      <c r="J39">
        <v>-99.176199999999994</v>
      </c>
      <c r="K39">
        <v>-88.850700000000003</v>
      </c>
      <c r="L39">
        <v>-45.288499999999999</v>
      </c>
      <c r="N39" s="1" t="s">
        <v>48</v>
      </c>
      <c r="O39">
        <v>-71.8</v>
      </c>
      <c r="P39">
        <v>-71.8</v>
      </c>
      <c r="Q39">
        <v>-113.2247</v>
      </c>
      <c r="R39">
        <v>-92.378200000000007</v>
      </c>
      <c r="S39">
        <v>-100.20140000000001</v>
      </c>
      <c r="T39">
        <v>-109.59869999999999</v>
      </c>
      <c r="U39">
        <v>-71.700500000000005</v>
      </c>
      <c r="V39">
        <v>-100.0603</v>
      </c>
      <c r="W39">
        <v>-88.603700000000003</v>
      </c>
      <c r="X39">
        <v>-49.1648</v>
      </c>
    </row>
    <row r="40" spans="1:24" x14ac:dyDescent="0.35">
      <c r="A40" s="1" t="s">
        <v>46</v>
      </c>
      <c r="B40">
        <v>-69.400000000000006</v>
      </c>
      <c r="C40" t="s">
        <v>46</v>
      </c>
      <c r="D40">
        <v>-111.2315</v>
      </c>
      <c r="E40">
        <v>-90.673100000000005</v>
      </c>
      <c r="F40">
        <v>-101.3395</v>
      </c>
      <c r="G40">
        <v>-106.1234</v>
      </c>
      <c r="H40">
        <v>-72.996099999999998</v>
      </c>
      <c r="I40">
        <v>-103.676</v>
      </c>
      <c r="J40">
        <v>-103.676</v>
      </c>
      <c r="K40">
        <v>-87.266099999999994</v>
      </c>
      <c r="L40">
        <v>-44.316299999999998</v>
      </c>
      <c r="N40" s="1" t="s">
        <v>49</v>
      </c>
      <c r="O40">
        <v>-61.8</v>
      </c>
      <c r="P40">
        <v>-61.8</v>
      </c>
      <c r="Q40">
        <v>-93.1965</v>
      </c>
      <c r="R40">
        <v>-73.280500000000004</v>
      </c>
      <c r="S40">
        <v>-99.723200000000006</v>
      </c>
      <c r="T40">
        <v>-110.3963</v>
      </c>
      <c r="U40">
        <v>-71.269199999999998</v>
      </c>
      <c r="V40">
        <v>-96.537400000000005</v>
      </c>
      <c r="W40">
        <v>-88.147800000000004</v>
      </c>
      <c r="X40">
        <v>-39.017699999999998</v>
      </c>
    </row>
    <row r="41" spans="1:24" x14ac:dyDescent="0.35">
      <c r="A41" s="1" t="s">
        <v>47</v>
      </c>
      <c r="B41">
        <v>-72.400000000000006</v>
      </c>
      <c r="C41" t="s">
        <v>47</v>
      </c>
      <c r="D41">
        <v>-114.10509999999999</v>
      </c>
      <c r="E41">
        <v>-92.994600000000005</v>
      </c>
      <c r="F41">
        <v>-103.8135</v>
      </c>
      <c r="G41">
        <v>-108.74290000000001</v>
      </c>
      <c r="H41">
        <v>-74.780500000000004</v>
      </c>
      <c r="I41">
        <v>-107.30200000000001</v>
      </c>
      <c r="J41">
        <v>-107.30200000000001</v>
      </c>
      <c r="K41">
        <v>-89.617000000000004</v>
      </c>
      <c r="L41">
        <v>-45.161299999999997</v>
      </c>
      <c r="N41" s="1" t="s">
        <v>50</v>
      </c>
      <c r="O41">
        <v>-67.2</v>
      </c>
      <c r="P41">
        <v>-67.2</v>
      </c>
      <c r="Q41">
        <v>-92.604500000000002</v>
      </c>
      <c r="R41">
        <v>-72.747200000000007</v>
      </c>
      <c r="S41">
        <v>-100.8785</v>
      </c>
      <c r="T41">
        <v>-92.274699999999996</v>
      </c>
      <c r="U41">
        <v>-71.831299999999999</v>
      </c>
      <c r="V41">
        <v>-102.4438</v>
      </c>
      <c r="W41">
        <v>-88.913600000000002</v>
      </c>
      <c r="X41">
        <v>-37.137999999999998</v>
      </c>
    </row>
    <row r="42" spans="1:24" x14ac:dyDescent="0.35">
      <c r="A42" s="1" t="s">
        <v>48</v>
      </c>
      <c r="B42">
        <v>-71.8</v>
      </c>
      <c r="C42" t="s">
        <v>48</v>
      </c>
      <c r="D42">
        <v>-110.09990000000001</v>
      </c>
      <c r="E42">
        <v>-89.665499999999994</v>
      </c>
      <c r="F42">
        <v>-100.2637</v>
      </c>
      <c r="G42">
        <v>-106.3703</v>
      </c>
      <c r="H42">
        <v>-72.606899999999996</v>
      </c>
      <c r="I42">
        <v>-97.578000000000003</v>
      </c>
      <c r="J42">
        <v>-97.578000000000003</v>
      </c>
      <c r="K42">
        <v>-86.674099999999996</v>
      </c>
      <c r="L42">
        <v>-43.761000000000003</v>
      </c>
      <c r="N42" s="1" t="s">
        <v>51</v>
      </c>
      <c r="O42">
        <v>-65.400000000000006</v>
      </c>
      <c r="P42">
        <v>-65.400000000000006</v>
      </c>
      <c r="Q42">
        <v>-92.903599999999997</v>
      </c>
      <c r="R42">
        <v>-72.936199999999999</v>
      </c>
      <c r="S42">
        <v>-100.5706</v>
      </c>
      <c r="T42">
        <v>-90.764899999999997</v>
      </c>
      <c r="U42">
        <v>-71.582899999999995</v>
      </c>
      <c r="V42">
        <v>-97.158799999999999</v>
      </c>
      <c r="W42">
        <v>-89.136600000000001</v>
      </c>
      <c r="X42">
        <v>-37.884999999999998</v>
      </c>
    </row>
    <row r="43" spans="1:24" x14ac:dyDescent="0.35">
      <c r="A43" s="1" t="s">
        <v>49</v>
      </c>
      <c r="B43">
        <v>-61.8</v>
      </c>
      <c r="C43" t="s">
        <v>49</v>
      </c>
      <c r="D43">
        <v>-88.856899999999996</v>
      </c>
      <c r="E43">
        <v>-69.497699999999995</v>
      </c>
      <c r="F43">
        <v>-77.0839</v>
      </c>
      <c r="G43">
        <v>-86.504800000000003</v>
      </c>
      <c r="H43">
        <v>-56.004100000000001</v>
      </c>
      <c r="I43">
        <v>-79.290599999999998</v>
      </c>
      <c r="J43">
        <v>-79.290599999999998</v>
      </c>
      <c r="K43">
        <v>-72.828299999999999</v>
      </c>
      <c r="L43">
        <v>-33.394100000000002</v>
      </c>
      <c r="N43" s="1" t="s">
        <v>52</v>
      </c>
      <c r="O43">
        <v>-66.400000000000006</v>
      </c>
      <c r="P43">
        <v>-66.400000000000006</v>
      </c>
      <c r="Q43">
        <v>-94.085899999999995</v>
      </c>
      <c r="R43">
        <v>-74.095699999999994</v>
      </c>
      <c r="S43">
        <v>-102.61660000000001</v>
      </c>
      <c r="T43">
        <v>-91.798000000000002</v>
      </c>
      <c r="U43">
        <v>-72.422799999999995</v>
      </c>
      <c r="V43">
        <v>-106.614</v>
      </c>
      <c r="W43">
        <v>-90.338899999999995</v>
      </c>
      <c r="X43">
        <v>-39.304699999999997</v>
      </c>
    </row>
    <row r="44" spans="1:24" x14ac:dyDescent="0.35">
      <c r="A44" s="1" t="s">
        <v>50</v>
      </c>
      <c r="B44">
        <v>-67.2</v>
      </c>
      <c r="C44" t="s">
        <v>50</v>
      </c>
      <c r="D44">
        <v>-86.410499999999999</v>
      </c>
      <c r="E44">
        <v>-66.995599999999996</v>
      </c>
      <c r="F44">
        <v>-73.664400000000001</v>
      </c>
      <c r="G44">
        <v>-82.898899999999998</v>
      </c>
      <c r="H44">
        <v>-54.844299999999997</v>
      </c>
      <c r="I44">
        <v>-75.271699999999996</v>
      </c>
      <c r="J44">
        <v>-75.271699999999996</v>
      </c>
      <c r="K44">
        <v>-68.513900000000007</v>
      </c>
      <c r="L44">
        <v>-26.0367</v>
      </c>
      <c r="N44" s="1" t="s">
        <v>53</v>
      </c>
      <c r="O44">
        <v>-48.1</v>
      </c>
      <c r="P44">
        <v>-48.1</v>
      </c>
      <c r="Q44">
        <v>-92.695800000000006</v>
      </c>
      <c r="R44">
        <v>-76.608500000000006</v>
      </c>
      <c r="S44">
        <v>-101.0655</v>
      </c>
      <c r="T44">
        <v>-93.606099999999998</v>
      </c>
      <c r="U44">
        <v>-71.450500000000005</v>
      </c>
      <c r="V44">
        <v>-100.0772</v>
      </c>
      <c r="W44">
        <v>-89.8506</v>
      </c>
      <c r="X44">
        <v>-43.657299999999999</v>
      </c>
    </row>
    <row r="45" spans="1:24" x14ac:dyDescent="0.35">
      <c r="A45" s="1" t="s">
        <v>51</v>
      </c>
      <c r="B45">
        <v>-65.400000000000006</v>
      </c>
      <c r="C45" t="s">
        <v>51</v>
      </c>
      <c r="D45">
        <v>-85.763300000000001</v>
      </c>
      <c r="E45">
        <v>-66.695499999999996</v>
      </c>
      <c r="F45">
        <v>-73.590599999999995</v>
      </c>
      <c r="G45">
        <v>-82.336699999999993</v>
      </c>
      <c r="H45">
        <v>-54.399000000000001</v>
      </c>
      <c r="I45">
        <v>-76.3857</v>
      </c>
      <c r="J45">
        <v>-76.3857</v>
      </c>
      <c r="K45">
        <v>-67.938100000000006</v>
      </c>
      <c r="L45">
        <v>-27.1236</v>
      </c>
      <c r="N45" s="1" t="s">
        <v>54</v>
      </c>
      <c r="O45">
        <v>-53.7</v>
      </c>
      <c r="P45">
        <v>-53.7</v>
      </c>
      <c r="Q45">
        <v>-91.528000000000006</v>
      </c>
      <c r="R45">
        <v>-75.228999999999999</v>
      </c>
      <c r="S45">
        <v>-103.29940000000001</v>
      </c>
      <c r="T45">
        <v>-91.328800000000001</v>
      </c>
      <c r="U45">
        <v>-72.950699999999998</v>
      </c>
      <c r="V45">
        <v>-107.1101</v>
      </c>
      <c r="W45">
        <v>-90.816299999999998</v>
      </c>
      <c r="X45">
        <v>-42.36</v>
      </c>
    </row>
    <row r="46" spans="1:24" x14ac:dyDescent="0.35">
      <c r="A46" s="1" t="s">
        <v>52</v>
      </c>
      <c r="B46">
        <v>-66.400000000000006</v>
      </c>
      <c r="C46" t="s">
        <v>52</v>
      </c>
      <c r="D46">
        <v>-87.720100000000002</v>
      </c>
      <c r="E46">
        <v>-68.391900000000007</v>
      </c>
      <c r="F46">
        <v>-75.218299999999999</v>
      </c>
      <c r="G46">
        <v>-84.519900000000007</v>
      </c>
      <c r="H46">
        <v>-55.692100000000003</v>
      </c>
      <c r="I46">
        <v>-83.485299999999995</v>
      </c>
      <c r="J46">
        <v>-83.485299999999995</v>
      </c>
      <c r="K46">
        <v>-69.909499999999994</v>
      </c>
      <c r="L46">
        <v>-27.801600000000001</v>
      </c>
      <c r="N46" s="1" t="s">
        <v>55</v>
      </c>
      <c r="O46">
        <v>-53.5</v>
      </c>
      <c r="P46">
        <v>-53.5</v>
      </c>
      <c r="Q46">
        <v>-93.516300000000001</v>
      </c>
      <c r="R46">
        <v>-77.283299999999997</v>
      </c>
      <c r="S46">
        <v>-102.8772</v>
      </c>
      <c r="T46">
        <v>-89.629000000000005</v>
      </c>
      <c r="U46">
        <v>-72.674700000000001</v>
      </c>
      <c r="V46">
        <v>-102.8293</v>
      </c>
      <c r="W46">
        <v>-90.910899999999998</v>
      </c>
      <c r="X46">
        <v>-44.978400000000001</v>
      </c>
    </row>
    <row r="47" spans="1:24" x14ac:dyDescent="0.35">
      <c r="A47" s="1" t="s">
        <v>53</v>
      </c>
      <c r="B47">
        <v>-48.1</v>
      </c>
      <c r="C47" t="s">
        <v>53</v>
      </c>
      <c r="D47">
        <v>-90.327699999999993</v>
      </c>
      <c r="E47">
        <v>-74.717200000000005</v>
      </c>
      <c r="F47">
        <v>-83.774299999999997</v>
      </c>
      <c r="G47">
        <v>-87.956699999999998</v>
      </c>
      <c r="H47">
        <v>-61.181199999999997</v>
      </c>
      <c r="I47">
        <v>-84.338700000000003</v>
      </c>
      <c r="J47">
        <v>-84.338700000000003</v>
      </c>
      <c r="K47">
        <v>-73.566199999999995</v>
      </c>
      <c r="L47">
        <v>-38.204799999999999</v>
      </c>
      <c r="N47" s="1" t="s">
        <v>56</v>
      </c>
      <c r="O47">
        <v>-69</v>
      </c>
      <c r="P47">
        <v>-69</v>
      </c>
      <c r="Q47">
        <v>-101.47020000000001</v>
      </c>
      <c r="R47">
        <v>-80.314599999999999</v>
      </c>
      <c r="S47">
        <v>-102.0699</v>
      </c>
      <c r="T47">
        <v>-91.765500000000003</v>
      </c>
      <c r="U47">
        <v>-72.561300000000003</v>
      </c>
      <c r="V47">
        <v>-103.4344</v>
      </c>
      <c r="W47">
        <v>-90.700599999999994</v>
      </c>
      <c r="X47">
        <v>-37.992100000000001</v>
      </c>
    </row>
    <row r="48" spans="1:24" x14ac:dyDescent="0.35">
      <c r="A48" s="1" t="s">
        <v>54</v>
      </c>
      <c r="B48">
        <v>-53.7</v>
      </c>
      <c r="C48" t="s">
        <v>54</v>
      </c>
      <c r="D48">
        <v>-92.261200000000002</v>
      </c>
      <c r="E48">
        <v>-76.098600000000005</v>
      </c>
      <c r="F48">
        <v>-85.026200000000003</v>
      </c>
      <c r="G48">
        <v>-89.6434</v>
      </c>
      <c r="H48">
        <v>-62.8491</v>
      </c>
      <c r="I48">
        <v>-80.085999999999999</v>
      </c>
      <c r="J48">
        <v>-80.085999999999999</v>
      </c>
      <c r="K48">
        <v>-74.777699999999996</v>
      </c>
      <c r="L48">
        <v>-37.873899999999999</v>
      </c>
      <c r="N48" s="1" t="s">
        <v>57</v>
      </c>
      <c r="O48">
        <v>-66.8</v>
      </c>
      <c r="P48">
        <v>-66.8</v>
      </c>
      <c r="Q48">
        <v>-102.9016</v>
      </c>
      <c r="R48">
        <v>-81.688599999999994</v>
      </c>
      <c r="S48">
        <v>-79.811899999999994</v>
      </c>
      <c r="T48">
        <v>-98.214799999999997</v>
      </c>
      <c r="U48">
        <v>-55.720999999999997</v>
      </c>
      <c r="V48">
        <v>-80.876499999999993</v>
      </c>
      <c r="W48">
        <v>-70.075100000000006</v>
      </c>
      <c r="X48">
        <v>-39.877899999999997</v>
      </c>
    </row>
    <row r="49" spans="1:24" x14ac:dyDescent="0.35">
      <c r="A49" s="1" t="s">
        <v>55</v>
      </c>
      <c r="B49">
        <v>-53.5</v>
      </c>
      <c r="C49" t="s">
        <v>55</v>
      </c>
      <c r="D49">
        <v>-91.428100000000001</v>
      </c>
      <c r="E49">
        <v>-75.962599999999995</v>
      </c>
      <c r="F49">
        <v>-85.196600000000004</v>
      </c>
      <c r="G49">
        <v>-88.335099999999997</v>
      </c>
      <c r="H49">
        <v>-62.358699999999999</v>
      </c>
      <c r="I49">
        <v>-84.071299999999994</v>
      </c>
      <c r="J49">
        <v>-84.071299999999994</v>
      </c>
      <c r="K49">
        <v>-75.164000000000001</v>
      </c>
      <c r="L49">
        <v>-40.059600000000003</v>
      </c>
      <c r="N49" s="1" t="s">
        <v>58</v>
      </c>
      <c r="O49">
        <v>-67.099999999999994</v>
      </c>
      <c r="P49">
        <v>-67.099999999999994</v>
      </c>
      <c r="Q49">
        <v>-101.50660000000001</v>
      </c>
      <c r="R49">
        <v>-80.225499999999997</v>
      </c>
      <c r="S49">
        <v>-80.571100000000001</v>
      </c>
      <c r="T49">
        <v>-100.5686</v>
      </c>
      <c r="U49">
        <v>-56.366100000000003</v>
      </c>
      <c r="V49">
        <v>-77.274799999999999</v>
      </c>
      <c r="W49">
        <v>-71.482600000000005</v>
      </c>
      <c r="X49">
        <v>-38.364199999999997</v>
      </c>
    </row>
    <row r="50" spans="1:24" x14ac:dyDescent="0.35">
      <c r="A50" s="1" t="s">
        <v>56</v>
      </c>
      <c r="B50">
        <v>-69</v>
      </c>
      <c r="C50" t="s">
        <v>56</v>
      </c>
      <c r="D50">
        <v>-98.704899999999995</v>
      </c>
      <c r="E50">
        <v>-77.028499999999994</v>
      </c>
      <c r="F50">
        <v>-85.063000000000002</v>
      </c>
      <c r="G50">
        <v>-92.918199999999999</v>
      </c>
      <c r="H50">
        <v>-63.002099999999999</v>
      </c>
      <c r="I50">
        <v>-92.6584</v>
      </c>
      <c r="J50">
        <v>-92.6584</v>
      </c>
      <c r="K50">
        <v>-74.997900000000001</v>
      </c>
      <c r="L50">
        <v>-28.211200000000002</v>
      </c>
      <c r="N50" s="1" t="s">
        <v>59</v>
      </c>
      <c r="O50">
        <v>-66</v>
      </c>
      <c r="P50">
        <v>-66</v>
      </c>
      <c r="Q50">
        <v>-101.06180000000001</v>
      </c>
      <c r="R50">
        <v>-79.868200000000002</v>
      </c>
      <c r="S50">
        <v>-80.158199999999994</v>
      </c>
      <c r="T50">
        <v>-98.537000000000006</v>
      </c>
      <c r="U50">
        <v>-56.596499999999999</v>
      </c>
      <c r="V50">
        <v>-78.372900000000001</v>
      </c>
      <c r="W50">
        <v>-71.4435</v>
      </c>
      <c r="X50">
        <v>-37.749200000000002</v>
      </c>
    </row>
    <row r="51" spans="1:24" x14ac:dyDescent="0.35">
      <c r="A51" s="1" t="s">
        <v>57</v>
      </c>
      <c r="B51">
        <v>-66.8</v>
      </c>
      <c r="C51" t="s">
        <v>57</v>
      </c>
      <c r="D51">
        <v>-101.4098</v>
      </c>
      <c r="E51">
        <v>-80.266900000000007</v>
      </c>
      <c r="F51">
        <v>-89.408199999999994</v>
      </c>
      <c r="G51">
        <v>-98.270899999999997</v>
      </c>
      <c r="H51">
        <v>-64.949600000000004</v>
      </c>
      <c r="I51">
        <v>-91.454899999999995</v>
      </c>
      <c r="J51">
        <v>-91.454899999999995</v>
      </c>
      <c r="K51">
        <v>-80.239599999999996</v>
      </c>
      <c r="L51">
        <v>-37.148000000000003</v>
      </c>
      <c r="N51" s="1" t="s">
        <v>60</v>
      </c>
      <c r="O51">
        <v>-72.3</v>
      </c>
      <c r="P51">
        <v>-72.3</v>
      </c>
      <c r="Q51">
        <v>-101.59050000000001</v>
      </c>
      <c r="R51">
        <v>-80.358900000000006</v>
      </c>
      <c r="S51">
        <v>-80.693100000000001</v>
      </c>
      <c r="T51">
        <v>-98.3232</v>
      </c>
      <c r="U51">
        <v>-56.917200000000001</v>
      </c>
      <c r="V51">
        <v>-76.231099999999998</v>
      </c>
      <c r="W51">
        <v>-72.810699999999997</v>
      </c>
      <c r="X51">
        <v>-38.212200000000003</v>
      </c>
    </row>
    <row r="52" spans="1:24" x14ac:dyDescent="0.35">
      <c r="A52" s="1" t="s">
        <v>58</v>
      </c>
      <c r="B52">
        <v>-67.099999999999994</v>
      </c>
      <c r="C52" t="s">
        <v>58</v>
      </c>
      <c r="D52">
        <v>-97.920299999999997</v>
      </c>
      <c r="E52">
        <v>-77.076400000000007</v>
      </c>
      <c r="F52">
        <v>-85.594899999999996</v>
      </c>
      <c r="G52">
        <v>-94.87</v>
      </c>
      <c r="H52">
        <v>-62.633800000000001</v>
      </c>
      <c r="I52">
        <v>-87.940200000000004</v>
      </c>
      <c r="J52">
        <v>-87.940200000000004</v>
      </c>
      <c r="K52">
        <v>-76.805499999999995</v>
      </c>
      <c r="L52">
        <v>-33.503900000000002</v>
      </c>
      <c r="N52" s="1" t="s">
        <v>61</v>
      </c>
      <c r="O52">
        <f>-74.2</f>
        <v>-74.2</v>
      </c>
      <c r="P52">
        <v>-74.2</v>
      </c>
      <c r="Q52">
        <v>-103.0305</v>
      </c>
      <c r="R52">
        <v>-84.201400000000007</v>
      </c>
      <c r="S52">
        <v>-107.0346</v>
      </c>
      <c r="T52">
        <v>-98.739400000000003</v>
      </c>
      <c r="U52">
        <v>-77.746600000000001</v>
      </c>
      <c r="V52">
        <v>-109.32859999999999</v>
      </c>
      <c r="W52">
        <v>-95.373400000000004</v>
      </c>
      <c r="X52">
        <v>-46.849299999999999</v>
      </c>
    </row>
    <row r="53" spans="1:24" x14ac:dyDescent="0.35">
      <c r="A53" s="1" t="s">
        <v>59</v>
      </c>
      <c r="B53">
        <v>-66</v>
      </c>
      <c r="C53" t="s">
        <v>59</v>
      </c>
      <c r="D53">
        <v>-99.537300000000002</v>
      </c>
      <c r="E53">
        <v>-78.475700000000003</v>
      </c>
      <c r="F53">
        <v>-87.138300000000001</v>
      </c>
      <c r="G53">
        <v>-95.832599999999999</v>
      </c>
      <c r="H53">
        <v>-64.495699999999999</v>
      </c>
      <c r="I53">
        <v>-89.3005</v>
      </c>
      <c r="J53">
        <v>-89.3005</v>
      </c>
      <c r="K53">
        <v>-77.490899999999996</v>
      </c>
      <c r="L53">
        <v>-32.053199999999997</v>
      </c>
      <c r="N53" s="1" t="s">
        <v>62</v>
      </c>
      <c r="O53">
        <v>-76.2</v>
      </c>
      <c r="P53">
        <v>-76.2</v>
      </c>
      <c r="Q53">
        <v>-102.0003</v>
      </c>
      <c r="R53">
        <v>-83.114599999999996</v>
      </c>
      <c r="S53">
        <v>-106.9496</v>
      </c>
      <c r="T53">
        <v>-99.597099999999998</v>
      </c>
      <c r="U53">
        <v>-77.950299999999999</v>
      </c>
      <c r="V53">
        <v>-110.9941</v>
      </c>
      <c r="W53">
        <v>-94.376900000000006</v>
      </c>
      <c r="X53">
        <v>-45.962800000000001</v>
      </c>
    </row>
    <row r="54" spans="1:24" x14ac:dyDescent="0.35">
      <c r="A54" s="1" t="s">
        <v>60</v>
      </c>
      <c r="B54">
        <v>-72.3</v>
      </c>
      <c r="C54" t="s">
        <v>60</v>
      </c>
      <c r="D54">
        <v>-99.719300000000004</v>
      </c>
      <c r="E54">
        <v>-78.751599999999996</v>
      </c>
      <c r="F54">
        <v>-87.529899999999998</v>
      </c>
      <c r="G54">
        <v>-96.645399999999995</v>
      </c>
      <c r="H54">
        <v>-63.773800000000001</v>
      </c>
      <c r="I54">
        <v>-90.048000000000002</v>
      </c>
      <c r="J54">
        <v>-90.048000000000002</v>
      </c>
      <c r="K54">
        <v>-79.635599999999997</v>
      </c>
      <c r="L54">
        <v>-35.882199999999997</v>
      </c>
      <c r="N54" s="1" t="s">
        <v>63</v>
      </c>
      <c r="O54">
        <v>-77.2</v>
      </c>
      <c r="P54">
        <v>-77.2</v>
      </c>
      <c r="Q54">
        <v>-101.9528</v>
      </c>
      <c r="R54">
        <v>-83.136200000000002</v>
      </c>
      <c r="S54">
        <v>-107.4589</v>
      </c>
      <c r="T54">
        <v>-98.544899999999998</v>
      </c>
      <c r="U54">
        <v>-78.245699999999999</v>
      </c>
      <c r="V54">
        <v>-114.15389999999999</v>
      </c>
      <c r="W54">
        <v>-94.660799999999995</v>
      </c>
      <c r="X54">
        <v>-45.593800000000002</v>
      </c>
    </row>
    <row r="55" spans="1:24" x14ac:dyDescent="0.35">
      <c r="A55" s="1" t="s">
        <v>61</v>
      </c>
      <c r="B55">
        <f>-74.2</f>
        <v>-74.2</v>
      </c>
      <c r="C55" t="s">
        <v>61</v>
      </c>
      <c r="D55">
        <v>-102.13120000000001</v>
      </c>
      <c r="E55">
        <v>-83.272599999999997</v>
      </c>
      <c r="F55">
        <v>-93.2577</v>
      </c>
      <c r="G55">
        <v>-99.042400000000001</v>
      </c>
      <c r="H55">
        <v>-66.767099999999999</v>
      </c>
      <c r="I55">
        <v>-92.824299999999994</v>
      </c>
      <c r="J55">
        <v>-92.824299999999994</v>
      </c>
      <c r="K55">
        <v>-82.938699999999997</v>
      </c>
      <c r="L55">
        <v>-45.035800000000002</v>
      </c>
      <c r="N55" s="1" t="s">
        <v>64</v>
      </c>
      <c r="O55">
        <v>-75.5</v>
      </c>
      <c r="P55">
        <v>-75.5</v>
      </c>
      <c r="Q55">
        <v>-102.7543</v>
      </c>
      <c r="R55">
        <v>-83.876800000000003</v>
      </c>
      <c r="S55">
        <v>-106.2719</v>
      </c>
      <c r="T55">
        <v>-98.979699999999994</v>
      </c>
      <c r="U55">
        <v>-77.116200000000006</v>
      </c>
      <c r="V55">
        <v>-110.2958</v>
      </c>
      <c r="W55">
        <v>-94.086699999999993</v>
      </c>
      <c r="X55">
        <v>-46.200400000000002</v>
      </c>
    </row>
    <row r="56" spans="1:24" x14ac:dyDescent="0.35">
      <c r="A56" s="1" t="s">
        <v>62</v>
      </c>
      <c r="B56">
        <v>-76.2</v>
      </c>
      <c r="C56" t="s">
        <v>62</v>
      </c>
      <c r="D56">
        <v>-101.074</v>
      </c>
      <c r="E56">
        <v>-82.007099999999994</v>
      </c>
      <c r="F56">
        <v>-91.642700000000005</v>
      </c>
      <c r="G56">
        <v>-97.109200000000001</v>
      </c>
      <c r="H56">
        <v>-65.738100000000003</v>
      </c>
      <c r="I56">
        <v>-91.627499999999998</v>
      </c>
      <c r="J56">
        <v>-91.627499999999998</v>
      </c>
      <c r="K56">
        <v>-81.667100000000005</v>
      </c>
      <c r="L56">
        <v>-43.493200000000002</v>
      </c>
      <c r="N56" s="1" t="s">
        <v>65</v>
      </c>
      <c r="O56">
        <v>-79.3</v>
      </c>
      <c r="P56">
        <v>-79.3</v>
      </c>
      <c r="Q56">
        <v>-110.248</v>
      </c>
      <c r="R56">
        <v>-89.940600000000003</v>
      </c>
      <c r="S56">
        <v>-83.765199999999993</v>
      </c>
      <c r="T56">
        <v>-99.721299999999999</v>
      </c>
      <c r="U56">
        <v>-58.985399999999998</v>
      </c>
      <c r="V56">
        <v>-79.486400000000003</v>
      </c>
      <c r="W56">
        <v>-77.236800000000002</v>
      </c>
      <c r="X56">
        <v>-48.037700000000001</v>
      </c>
    </row>
    <row r="57" spans="1:24" x14ac:dyDescent="0.35">
      <c r="A57" s="1" t="s">
        <v>63</v>
      </c>
      <c r="B57">
        <v>-77.2</v>
      </c>
      <c r="C57" t="s">
        <v>63</v>
      </c>
      <c r="D57">
        <v>-101.69750000000001</v>
      </c>
      <c r="E57">
        <v>-82.974800000000002</v>
      </c>
      <c r="F57">
        <v>-92.933400000000006</v>
      </c>
      <c r="G57">
        <v>-98.134</v>
      </c>
      <c r="H57">
        <v>-66.626800000000003</v>
      </c>
      <c r="I57">
        <v>-94.620999999999995</v>
      </c>
      <c r="J57">
        <v>-94.620999999999995</v>
      </c>
      <c r="K57">
        <v>-82.860200000000006</v>
      </c>
      <c r="L57">
        <v>-45.3889</v>
      </c>
      <c r="N57" s="1" t="s">
        <v>66</v>
      </c>
      <c r="O57">
        <v>-76.8</v>
      </c>
      <c r="P57">
        <v>-76.8</v>
      </c>
      <c r="Q57">
        <v>-109.8648</v>
      </c>
      <c r="R57">
        <v>-89.305899999999994</v>
      </c>
      <c r="S57">
        <v>-82.530199999999994</v>
      </c>
      <c r="T57">
        <v>-108.64109999999999</v>
      </c>
      <c r="U57">
        <v>-57.664700000000003</v>
      </c>
      <c r="V57">
        <v>-77.533900000000003</v>
      </c>
      <c r="W57">
        <v>-75.463099999999997</v>
      </c>
      <c r="X57">
        <v>-47.120399999999997</v>
      </c>
    </row>
    <row r="58" spans="1:24" x14ac:dyDescent="0.35">
      <c r="A58" s="1" t="s">
        <v>64</v>
      </c>
      <c r="B58">
        <v>-75.5</v>
      </c>
      <c r="C58" t="s">
        <v>64</v>
      </c>
      <c r="D58">
        <v>-98.431200000000004</v>
      </c>
      <c r="E58">
        <v>-79.814599999999999</v>
      </c>
      <c r="F58">
        <v>-88.908799999999999</v>
      </c>
      <c r="G58">
        <v>-95.257499999999993</v>
      </c>
      <c r="H58">
        <v>-64.828999999999994</v>
      </c>
      <c r="I58">
        <v>-90.626300000000001</v>
      </c>
      <c r="J58">
        <v>-90.626300000000001</v>
      </c>
      <c r="K58">
        <v>-79.738600000000005</v>
      </c>
      <c r="L58">
        <v>-40.459299999999999</v>
      </c>
      <c r="N58" s="1" t="s">
        <v>67</v>
      </c>
      <c r="O58">
        <v>-73.900000000000006</v>
      </c>
      <c r="P58">
        <v>-73.900000000000006</v>
      </c>
      <c r="Q58">
        <v>-110.83839999999999</v>
      </c>
      <c r="R58">
        <v>-90.232699999999994</v>
      </c>
      <c r="S58">
        <v>-82.461500000000001</v>
      </c>
      <c r="T58">
        <v>-108.2004</v>
      </c>
      <c r="U58">
        <v>-58.078800000000001</v>
      </c>
      <c r="V58">
        <v>-78.834299999999999</v>
      </c>
      <c r="W58">
        <v>-76.106099999999998</v>
      </c>
      <c r="X58">
        <v>-48.616300000000003</v>
      </c>
    </row>
    <row r="59" spans="1:24" x14ac:dyDescent="0.35">
      <c r="A59" s="1" t="s">
        <v>65</v>
      </c>
      <c r="B59">
        <v>-79.3</v>
      </c>
      <c r="C59" t="s">
        <v>65</v>
      </c>
      <c r="D59">
        <v>-109.3784</v>
      </c>
      <c r="E59">
        <v>-89.141900000000007</v>
      </c>
      <c r="F59">
        <v>-100.5964</v>
      </c>
      <c r="G59">
        <v>-107.66970000000001</v>
      </c>
      <c r="H59">
        <v>-71.976100000000002</v>
      </c>
      <c r="I59">
        <v>-105.3927</v>
      </c>
      <c r="J59">
        <v>-105.3927</v>
      </c>
      <c r="K59">
        <v>-88.168300000000002</v>
      </c>
      <c r="L59">
        <v>-46.251800000000003</v>
      </c>
      <c r="N59" s="1" t="s">
        <v>68</v>
      </c>
      <c r="O59">
        <v>-74</v>
      </c>
      <c r="P59">
        <v>-74</v>
      </c>
      <c r="Q59">
        <v>-110.4256</v>
      </c>
      <c r="R59">
        <v>-89.892200000000003</v>
      </c>
      <c r="S59">
        <v>-81.221900000000005</v>
      </c>
      <c r="T59">
        <v>-110</v>
      </c>
      <c r="U59">
        <v>-57.262599999999999</v>
      </c>
      <c r="V59">
        <v>-75.8703</v>
      </c>
      <c r="W59">
        <v>-75.069900000000004</v>
      </c>
      <c r="X59">
        <v>-48.242899999999999</v>
      </c>
    </row>
    <row r="60" spans="1:24" x14ac:dyDescent="0.35">
      <c r="A60" s="1" t="s">
        <v>66</v>
      </c>
      <c r="B60">
        <v>-76.8</v>
      </c>
      <c r="C60" t="s">
        <v>66</v>
      </c>
      <c r="D60">
        <v>-108.7663</v>
      </c>
      <c r="E60">
        <v>-88.328699999999998</v>
      </c>
      <c r="F60">
        <v>-99.601100000000002</v>
      </c>
      <c r="G60">
        <v>-107.93519999999999</v>
      </c>
      <c r="H60">
        <v>-71.092699999999994</v>
      </c>
      <c r="I60">
        <v>-99.934399999999997</v>
      </c>
      <c r="J60">
        <v>-99.934399999999997</v>
      </c>
      <c r="K60">
        <v>-87.526399999999995</v>
      </c>
      <c r="L60">
        <v>-45.319699999999997</v>
      </c>
      <c r="N60" s="1" t="s">
        <v>69</v>
      </c>
      <c r="O60">
        <v>-76.599999999999994</v>
      </c>
      <c r="P60">
        <v>-76.599999999999994</v>
      </c>
      <c r="Q60">
        <v>-110.441</v>
      </c>
      <c r="R60">
        <v>-89.9208</v>
      </c>
      <c r="S60">
        <v>-101.7452</v>
      </c>
      <c r="T60">
        <v>-109.59220000000001</v>
      </c>
      <c r="U60">
        <v>-73.404799999999994</v>
      </c>
      <c r="V60">
        <v>-98.383499999999998</v>
      </c>
      <c r="W60">
        <v>-91.790400000000005</v>
      </c>
      <c r="X60">
        <v>-47.963099999999997</v>
      </c>
    </row>
    <row r="61" spans="1:24" x14ac:dyDescent="0.35">
      <c r="A61" s="1" t="s">
        <v>67</v>
      </c>
      <c r="B61">
        <v>-73.900000000000006</v>
      </c>
      <c r="C61" t="s">
        <v>67</v>
      </c>
      <c r="D61">
        <v>-109.6178</v>
      </c>
      <c r="E61">
        <v>-89.169300000000007</v>
      </c>
      <c r="F61">
        <v>-100.2433</v>
      </c>
      <c r="G61">
        <v>-108.7332</v>
      </c>
      <c r="H61">
        <v>-72.031499999999994</v>
      </c>
      <c r="I61">
        <v>-106.7542</v>
      </c>
      <c r="J61">
        <v>-106.7542</v>
      </c>
      <c r="K61">
        <v>-88.041600000000003</v>
      </c>
      <c r="L61">
        <v>-46.0672</v>
      </c>
      <c r="N61" s="1" t="s">
        <v>70</v>
      </c>
      <c r="O61">
        <v>-82.9</v>
      </c>
      <c r="P61">
        <v>-82.9</v>
      </c>
      <c r="Q61">
        <v>-118.03060000000001</v>
      </c>
      <c r="R61">
        <v>-96.469499999999996</v>
      </c>
      <c r="S61">
        <v>-101.777</v>
      </c>
      <c r="T61">
        <v>-109.4569</v>
      </c>
      <c r="U61">
        <v>-73.769000000000005</v>
      </c>
      <c r="V61">
        <v>-103.8202</v>
      </c>
      <c r="W61">
        <v>-91.485299999999995</v>
      </c>
      <c r="X61">
        <v>-54.121299999999998</v>
      </c>
    </row>
    <row r="62" spans="1:24" x14ac:dyDescent="0.35">
      <c r="A62" s="1" t="s">
        <v>68</v>
      </c>
      <c r="B62">
        <v>-74</v>
      </c>
      <c r="C62" t="s">
        <v>68</v>
      </c>
      <c r="D62">
        <v>-108.1345</v>
      </c>
      <c r="E62">
        <v>-87.9422</v>
      </c>
      <c r="F62">
        <v>-98.820599999999999</v>
      </c>
      <c r="G62">
        <v>-106.9999</v>
      </c>
      <c r="H62">
        <v>-71.39</v>
      </c>
      <c r="I62">
        <v>-102.1674</v>
      </c>
      <c r="J62">
        <v>-102.1674</v>
      </c>
      <c r="K62">
        <v>-87.6952</v>
      </c>
      <c r="L62">
        <v>-45.733800000000002</v>
      </c>
      <c r="N62" s="1" t="s">
        <v>71</v>
      </c>
      <c r="O62">
        <v>-81</v>
      </c>
      <c r="P62">
        <v>-81</v>
      </c>
      <c r="Q62">
        <v>-117.7268</v>
      </c>
      <c r="R62">
        <v>-96.041899999999998</v>
      </c>
      <c r="S62">
        <v>-100.88030000000001</v>
      </c>
      <c r="T62">
        <v>-116.0692</v>
      </c>
      <c r="U62">
        <v>-73.0749</v>
      </c>
      <c r="V62">
        <v>-101.65130000000001</v>
      </c>
      <c r="W62">
        <v>-90.632999999999996</v>
      </c>
      <c r="X62">
        <v>-53.677199999999999</v>
      </c>
    </row>
    <row r="63" spans="1:24" x14ac:dyDescent="0.35">
      <c r="A63" s="1" t="s">
        <v>69</v>
      </c>
      <c r="B63">
        <v>-76.599999999999994</v>
      </c>
      <c r="C63" t="s">
        <v>69</v>
      </c>
      <c r="D63">
        <v>-107.839</v>
      </c>
      <c r="E63">
        <v>-87.521100000000004</v>
      </c>
      <c r="F63">
        <v>-98.315299999999993</v>
      </c>
      <c r="G63">
        <v>-108.199</v>
      </c>
      <c r="H63">
        <v>-70.740200000000002</v>
      </c>
      <c r="I63">
        <v>-97.050899999999999</v>
      </c>
      <c r="J63">
        <v>-97.050899999999999</v>
      </c>
      <c r="K63">
        <v>-87.2958</v>
      </c>
      <c r="L63">
        <v>-44.619</v>
      </c>
      <c r="N63" s="1" t="s">
        <v>72</v>
      </c>
      <c r="O63">
        <v>-81.099999999999994</v>
      </c>
      <c r="P63">
        <v>-81.099999999999994</v>
      </c>
      <c r="Q63">
        <v>-116.76130000000001</v>
      </c>
      <c r="R63">
        <v>-95.027699999999996</v>
      </c>
      <c r="S63">
        <v>-96.250100000000003</v>
      </c>
      <c r="T63">
        <v>-115.1332</v>
      </c>
      <c r="U63">
        <v>-69.076300000000003</v>
      </c>
      <c r="V63">
        <v>-101.8205</v>
      </c>
      <c r="W63">
        <v>-85.041499999999999</v>
      </c>
      <c r="X63">
        <v>-52.932899999999997</v>
      </c>
    </row>
    <row r="64" spans="1:24" x14ac:dyDescent="0.35">
      <c r="A64" s="1" t="s">
        <v>70</v>
      </c>
      <c r="B64">
        <v>-82.9</v>
      </c>
      <c r="C64" t="s">
        <v>70</v>
      </c>
      <c r="D64">
        <v>-113.3129</v>
      </c>
      <c r="E64">
        <v>-92.369600000000005</v>
      </c>
      <c r="F64">
        <v>-103.8441</v>
      </c>
      <c r="G64">
        <v>-109.88290000000001</v>
      </c>
      <c r="H64">
        <v>-74.710599999999999</v>
      </c>
      <c r="I64">
        <v>-108.2946</v>
      </c>
      <c r="J64">
        <v>-108.2946</v>
      </c>
      <c r="K64">
        <v>-91.650800000000004</v>
      </c>
      <c r="L64">
        <v>-49.157800000000002</v>
      </c>
      <c r="N64" s="1" t="s">
        <v>73</v>
      </c>
      <c r="O64">
        <v>-78.2</v>
      </c>
      <c r="P64">
        <v>-78.2</v>
      </c>
      <c r="Q64">
        <v>-117.1828</v>
      </c>
      <c r="R64">
        <v>-95.4846</v>
      </c>
      <c r="S64">
        <v>-95.852800000000002</v>
      </c>
      <c r="T64">
        <v>-113.8302</v>
      </c>
      <c r="U64">
        <v>-68.778700000000001</v>
      </c>
      <c r="V64">
        <v>-97.435299999999998</v>
      </c>
      <c r="W64">
        <v>-84.488399999999999</v>
      </c>
      <c r="X64">
        <v>-53.319899999999997</v>
      </c>
    </row>
    <row r="65" spans="1:24" x14ac:dyDescent="0.35">
      <c r="A65" s="1" t="s">
        <v>71</v>
      </c>
      <c r="B65">
        <v>-81</v>
      </c>
      <c r="C65" t="s">
        <v>71</v>
      </c>
      <c r="D65">
        <v>-114.6947</v>
      </c>
      <c r="E65">
        <v>-93.484700000000004</v>
      </c>
      <c r="F65">
        <v>-104.8122</v>
      </c>
      <c r="G65">
        <v>-112.3342</v>
      </c>
      <c r="H65">
        <v>-75.443700000000007</v>
      </c>
      <c r="I65">
        <v>-105.35209999999999</v>
      </c>
      <c r="J65">
        <v>-105.35209999999999</v>
      </c>
      <c r="K65">
        <v>-92.722399999999993</v>
      </c>
      <c r="L65">
        <v>-49.362499999999997</v>
      </c>
      <c r="N65" s="1" t="s">
        <v>74</v>
      </c>
      <c r="O65">
        <v>-78.7</v>
      </c>
      <c r="P65">
        <v>-78.7</v>
      </c>
      <c r="Q65">
        <v>-116.938</v>
      </c>
      <c r="R65">
        <v>-95.189300000000003</v>
      </c>
      <c r="S65">
        <v>-97.648799999999994</v>
      </c>
      <c r="T65">
        <v>-114.5853</v>
      </c>
      <c r="U65">
        <v>-70.384200000000007</v>
      </c>
      <c r="V65">
        <v>-99.335999999999999</v>
      </c>
      <c r="W65">
        <v>-86.635800000000003</v>
      </c>
      <c r="X65">
        <v>-52.651499999999999</v>
      </c>
    </row>
    <row r="66" spans="1:24" x14ac:dyDescent="0.35">
      <c r="A66" s="1" t="s">
        <v>72</v>
      </c>
      <c r="B66">
        <v>-81.099999999999994</v>
      </c>
      <c r="C66" t="s">
        <v>72</v>
      </c>
      <c r="D66">
        <v>-113.3018</v>
      </c>
      <c r="E66">
        <v>-92.114400000000003</v>
      </c>
      <c r="F66">
        <v>-103.7032</v>
      </c>
      <c r="G66">
        <v>-109.62050000000001</v>
      </c>
      <c r="H66">
        <v>-74.425700000000006</v>
      </c>
      <c r="I66">
        <v>-106.67659999999999</v>
      </c>
      <c r="J66">
        <v>-106.67659999999999</v>
      </c>
      <c r="K66">
        <v>-90.366</v>
      </c>
      <c r="L66">
        <v>-46.513800000000003</v>
      </c>
      <c r="N66" s="1" t="s">
        <v>75</v>
      </c>
      <c r="O66">
        <v>-74.5</v>
      </c>
      <c r="P66">
        <v>-74.5</v>
      </c>
      <c r="Q66">
        <v>-108.0612</v>
      </c>
      <c r="R66">
        <v>-89.368499999999997</v>
      </c>
      <c r="S66">
        <v>-83.022999999999996</v>
      </c>
      <c r="T66">
        <v>-115.8009</v>
      </c>
      <c r="U66">
        <v>-59.567900000000002</v>
      </c>
      <c r="V66">
        <v>-85.260099999999994</v>
      </c>
      <c r="W66">
        <v>-76.799099999999996</v>
      </c>
      <c r="X66">
        <v>-51.170499999999997</v>
      </c>
    </row>
    <row r="67" spans="1:24" x14ac:dyDescent="0.35">
      <c r="A67" s="1" t="s">
        <v>73</v>
      </c>
      <c r="B67">
        <v>-78.2</v>
      </c>
      <c r="C67" t="s">
        <v>73</v>
      </c>
      <c r="D67">
        <v>-113.9601</v>
      </c>
      <c r="E67">
        <v>-92.857699999999994</v>
      </c>
      <c r="F67">
        <v>-104.4298</v>
      </c>
      <c r="G67">
        <v>-112.31659999999999</v>
      </c>
      <c r="H67">
        <v>-74.635000000000005</v>
      </c>
      <c r="I67">
        <v>-109.7728</v>
      </c>
      <c r="J67">
        <v>-109.7728</v>
      </c>
      <c r="K67">
        <v>-92.229900000000001</v>
      </c>
      <c r="L67">
        <v>-49.523000000000003</v>
      </c>
      <c r="N67" s="1" t="s">
        <v>76</v>
      </c>
      <c r="O67">
        <v>-74.099999999999994</v>
      </c>
      <c r="P67">
        <v>-74.099999999999994</v>
      </c>
      <c r="Q67">
        <v>-107.1777</v>
      </c>
      <c r="R67">
        <v>-88.671800000000005</v>
      </c>
      <c r="S67">
        <v>-82.976200000000006</v>
      </c>
      <c r="T67">
        <v>-104.51349999999999</v>
      </c>
      <c r="U67">
        <v>-59.818300000000001</v>
      </c>
      <c r="V67">
        <v>-82.2393</v>
      </c>
      <c r="W67">
        <v>-77.385900000000007</v>
      </c>
      <c r="X67">
        <v>-50.951300000000003</v>
      </c>
    </row>
    <row r="68" spans="1:24" x14ac:dyDescent="0.35">
      <c r="A68" s="1" t="s">
        <v>74</v>
      </c>
      <c r="B68">
        <v>-78.7</v>
      </c>
      <c r="C68" t="s">
        <v>74</v>
      </c>
      <c r="D68">
        <v>-114.01519999999999</v>
      </c>
      <c r="E68">
        <v>-92.824299999999994</v>
      </c>
      <c r="F68">
        <v>-104.2839</v>
      </c>
      <c r="G68">
        <v>-110.68729999999999</v>
      </c>
      <c r="H68">
        <v>-74.633899999999997</v>
      </c>
      <c r="I68">
        <v>-103.7286</v>
      </c>
      <c r="J68">
        <v>-103.7286</v>
      </c>
      <c r="K68">
        <v>-91.552099999999996</v>
      </c>
      <c r="L68">
        <v>-48.177300000000002</v>
      </c>
      <c r="N68" s="1" t="s">
        <v>77</v>
      </c>
      <c r="O68">
        <v>-74.7</v>
      </c>
      <c r="P68">
        <v>-74.7</v>
      </c>
      <c r="Q68">
        <v>-108.3806</v>
      </c>
      <c r="R68">
        <v>-89.624200000000002</v>
      </c>
      <c r="S68">
        <v>-82.868300000000005</v>
      </c>
      <c r="T68">
        <v>-103.502</v>
      </c>
      <c r="U68">
        <v>-59.919800000000002</v>
      </c>
      <c r="V68">
        <v>-81.545400000000001</v>
      </c>
      <c r="W68">
        <v>-77.497100000000003</v>
      </c>
      <c r="X68">
        <v>-51.472499999999997</v>
      </c>
    </row>
    <row r="69" spans="1:24" x14ac:dyDescent="0.35">
      <c r="A69" s="1" t="s">
        <v>75</v>
      </c>
      <c r="B69">
        <v>-74.5</v>
      </c>
      <c r="C69" t="s">
        <v>75</v>
      </c>
      <c r="D69">
        <v>-105.7214</v>
      </c>
      <c r="E69">
        <v>-87.3566</v>
      </c>
      <c r="F69">
        <v>-98.081900000000005</v>
      </c>
      <c r="G69">
        <v>-102.7037</v>
      </c>
      <c r="H69">
        <v>-70.281000000000006</v>
      </c>
      <c r="I69">
        <v>-97.851500000000001</v>
      </c>
      <c r="J69">
        <v>-97.851500000000001</v>
      </c>
      <c r="K69">
        <v>-86.490499999999997</v>
      </c>
      <c r="L69">
        <v>-49.033700000000003</v>
      </c>
      <c r="N69" s="1" t="s">
        <v>78</v>
      </c>
      <c r="O69">
        <v>-75</v>
      </c>
      <c r="P69">
        <v>-75</v>
      </c>
      <c r="Q69">
        <v>-108.441</v>
      </c>
      <c r="R69">
        <v>-89.567999999999998</v>
      </c>
      <c r="S69">
        <v>-83.359899999999996</v>
      </c>
      <c r="T69">
        <v>-104.8147</v>
      </c>
      <c r="U69">
        <v>-60.107799999999997</v>
      </c>
      <c r="V69">
        <v>-84.755799999999994</v>
      </c>
      <c r="W69">
        <v>-77.541300000000007</v>
      </c>
      <c r="X69">
        <v>-50.811799999999998</v>
      </c>
    </row>
    <row r="70" spans="1:24" x14ac:dyDescent="0.35">
      <c r="A70" s="1" t="s">
        <v>76</v>
      </c>
      <c r="B70">
        <v>-74.099999999999994</v>
      </c>
      <c r="C70" t="s">
        <v>76</v>
      </c>
      <c r="D70">
        <v>-105.45059999999999</v>
      </c>
      <c r="E70">
        <v>-87.154700000000005</v>
      </c>
      <c r="F70">
        <v>-97.925700000000006</v>
      </c>
      <c r="G70">
        <v>-101.4884</v>
      </c>
      <c r="H70">
        <v>-70.260599999999997</v>
      </c>
      <c r="I70">
        <v>-95.140600000000006</v>
      </c>
      <c r="J70">
        <v>-95.140600000000006</v>
      </c>
      <c r="K70">
        <v>-86.2089</v>
      </c>
      <c r="L70">
        <v>-48.951000000000001</v>
      </c>
      <c r="N70" s="1" t="s">
        <v>79</v>
      </c>
      <c r="O70">
        <v>-77.2</v>
      </c>
      <c r="P70">
        <v>-77.2</v>
      </c>
      <c r="Q70">
        <v>-112.72620000000001</v>
      </c>
      <c r="R70">
        <v>-91.400800000000004</v>
      </c>
      <c r="S70">
        <v>-83.021500000000003</v>
      </c>
      <c r="T70">
        <v>-104.5085</v>
      </c>
      <c r="U70">
        <v>-59.528399999999998</v>
      </c>
      <c r="V70">
        <v>-85.9756</v>
      </c>
      <c r="W70">
        <v>-77.171099999999996</v>
      </c>
      <c r="X70">
        <v>-48.654299999999999</v>
      </c>
    </row>
    <row r="71" spans="1:24" x14ac:dyDescent="0.35">
      <c r="A71" s="1" t="s">
        <v>77</v>
      </c>
      <c r="B71">
        <v>-74.7</v>
      </c>
      <c r="C71" t="s">
        <v>77</v>
      </c>
      <c r="D71">
        <v>-104.9811</v>
      </c>
      <c r="E71">
        <v>-86.627799999999993</v>
      </c>
      <c r="F71">
        <v>-97.527500000000003</v>
      </c>
      <c r="G71">
        <v>-101.5142</v>
      </c>
      <c r="H71">
        <v>-69.671000000000006</v>
      </c>
      <c r="I71">
        <v>-98.7804</v>
      </c>
      <c r="J71">
        <v>-98.7804</v>
      </c>
      <c r="K71">
        <v>-85.561199999999999</v>
      </c>
      <c r="L71">
        <v>-47.877600000000001</v>
      </c>
      <c r="N71" s="1" t="s">
        <v>80</v>
      </c>
      <c r="O71">
        <v>-75.8</v>
      </c>
      <c r="P71">
        <v>-75.8</v>
      </c>
      <c r="Q71">
        <v>-111.44540000000001</v>
      </c>
      <c r="R71">
        <v>-90.102800000000002</v>
      </c>
      <c r="S71">
        <v>-105.49290000000001</v>
      </c>
      <c r="T71">
        <v>-109.49850000000001</v>
      </c>
      <c r="U71">
        <v>-75.711100000000002</v>
      </c>
      <c r="V71">
        <v>-107.0625</v>
      </c>
      <c r="W71">
        <v>-92.091099999999997</v>
      </c>
      <c r="X71">
        <v>-47.827599999999997</v>
      </c>
    </row>
    <row r="72" spans="1:24" x14ac:dyDescent="0.35">
      <c r="A72" s="1" t="s">
        <v>78</v>
      </c>
      <c r="B72">
        <v>-75</v>
      </c>
      <c r="C72" t="s">
        <v>78</v>
      </c>
      <c r="D72">
        <v>-105.7542</v>
      </c>
      <c r="E72">
        <v>-86.901799999999994</v>
      </c>
      <c r="F72">
        <v>-97.432599999999994</v>
      </c>
      <c r="G72">
        <v>-102.2197</v>
      </c>
      <c r="H72">
        <v>-69.535899999999998</v>
      </c>
      <c r="I72">
        <v>-94.750799999999998</v>
      </c>
      <c r="J72">
        <v>-94.750799999999998</v>
      </c>
      <c r="K72">
        <v>-86.419899999999998</v>
      </c>
      <c r="L72">
        <v>-47.654400000000003</v>
      </c>
      <c r="N72" s="1" t="s">
        <v>81</v>
      </c>
      <c r="O72">
        <v>-78.599999999999994</v>
      </c>
      <c r="P72">
        <v>-78.599999999999994</v>
      </c>
      <c r="Q72">
        <v>-113.3659</v>
      </c>
      <c r="R72">
        <v>-91.998999999999995</v>
      </c>
      <c r="S72">
        <v>-104.86</v>
      </c>
      <c r="T72">
        <v>-108.357</v>
      </c>
      <c r="U72">
        <v>-75.397300000000001</v>
      </c>
      <c r="V72">
        <v>-105.4254</v>
      </c>
      <c r="W72">
        <v>-91.751099999999994</v>
      </c>
      <c r="X72">
        <v>-48.419199999999996</v>
      </c>
    </row>
    <row r="73" spans="1:24" x14ac:dyDescent="0.35">
      <c r="A73" s="1" t="s">
        <v>79</v>
      </c>
      <c r="B73">
        <v>-77.2</v>
      </c>
      <c r="C73" t="s">
        <v>79</v>
      </c>
      <c r="D73">
        <v>-110.0489</v>
      </c>
      <c r="E73">
        <v>-88.852500000000006</v>
      </c>
      <c r="F73">
        <v>-99.633799999999994</v>
      </c>
      <c r="G73">
        <v>-106.85550000000001</v>
      </c>
      <c r="H73">
        <v>-70.560100000000006</v>
      </c>
      <c r="I73">
        <v>-103.8978</v>
      </c>
      <c r="J73">
        <v>-103.8978</v>
      </c>
      <c r="K73">
        <v>-87.590500000000006</v>
      </c>
      <c r="L73">
        <v>-45.831400000000002</v>
      </c>
      <c r="N73" s="1" t="s">
        <v>82</v>
      </c>
      <c r="O73">
        <v>-77.3</v>
      </c>
      <c r="P73">
        <v>-77.3</v>
      </c>
      <c r="Q73">
        <v>-113.13420000000001</v>
      </c>
      <c r="R73">
        <v>-91.721999999999994</v>
      </c>
      <c r="S73">
        <v>-104.4466</v>
      </c>
      <c r="T73">
        <v>-110.28830000000001</v>
      </c>
      <c r="U73">
        <v>-74.929900000000004</v>
      </c>
      <c r="V73">
        <v>-103.7213</v>
      </c>
      <c r="W73">
        <v>-91.485699999999994</v>
      </c>
      <c r="X73">
        <v>-48.744999999999997</v>
      </c>
    </row>
    <row r="74" spans="1:24" x14ac:dyDescent="0.35">
      <c r="A74" s="1" t="s">
        <v>80</v>
      </c>
      <c r="B74">
        <v>-75.8</v>
      </c>
      <c r="C74" t="s">
        <v>80</v>
      </c>
      <c r="D74">
        <v>-106.9676</v>
      </c>
      <c r="E74">
        <v>-85.898600000000002</v>
      </c>
      <c r="F74">
        <v>-96.037700000000001</v>
      </c>
      <c r="G74">
        <v>-102.8477</v>
      </c>
      <c r="H74">
        <v>-68.579599999999999</v>
      </c>
      <c r="I74">
        <v>-95.978700000000003</v>
      </c>
      <c r="J74">
        <v>-95.978700000000003</v>
      </c>
      <c r="K74">
        <v>-84.699799999999996</v>
      </c>
      <c r="L74">
        <v>-41.477400000000003</v>
      </c>
      <c r="N74" s="1" t="s">
        <v>83</v>
      </c>
      <c r="O74">
        <v>-79.400000000000006</v>
      </c>
      <c r="P74">
        <v>-79.400000000000006</v>
      </c>
      <c r="Q74">
        <v>-112.50109999999999</v>
      </c>
      <c r="R74">
        <v>-91.081199999999995</v>
      </c>
      <c r="S74">
        <v>-104.2786</v>
      </c>
      <c r="T74">
        <v>-109.2244</v>
      </c>
      <c r="U74">
        <v>-74.230099999999993</v>
      </c>
      <c r="V74">
        <v>-101.17659999999999</v>
      </c>
      <c r="W74">
        <v>-90.462900000000005</v>
      </c>
      <c r="X74">
        <v>-48.897199999999998</v>
      </c>
    </row>
    <row r="75" spans="1:24" x14ac:dyDescent="0.35">
      <c r="A75" s="1" t="s">
        <v>81</v>
      </c>
      <c r="B75">
        <v>-78.599999999999994</v>
      </c>
      <c r="C75" t="s">
        <v>81</v>
      </c>
      <c r="D75">
        <v>-107.0758</v>
      </c>
      <c r="E75">
        <v>-85.938599999999994</v>
      </c>
      <c r="F75">
        <v>-96.314899999999994</v>
      </c>
      <c r="G75">
        <v>-104.0839</v>
      </c>
      <c r="H75">
        <v>-68.504800000000003</v>
      </c>
      <c r="I75">
        <v>-101.3005</v>
      </c>
      <c r="J75">
        <v>-101.3005</v>
      </c>
      <c r="K75">
        <v>-84.736599999999996</v>
      </c>
      <c r="L75">
        <v>-41.635300000000001</v>
      </c>
      <c r="N75" s="1" t="s">
        <v>84</v>
      </c>
      <c r="O75">
        <v>-52.3</v>
      </c>
      <c r="P75">
        <v>-52.3</v>
      </c>
      <c r="Q75">
        <v>-85.4161</v>
      </c>
      <c r="R75">
        <v>-70.921300000000002</v>
      </c>
      <c r="S75">
        <v>-104.4057</v>
      </c>
      <c r="T75">
        <v>-110.1687</v>
      </c>
      <c r="U75">
        <v>-74.867199999999997</v>
      </c>
      <c r="V75">
        <v>-106.1849</v>
      </c>
      <c r="W75">
        <v>-90.896000000000001</v>
      </c>
      <c r="X75">
        <v>-41.748199999999997</v>
      </c>
    </row>
    <row r="76" spans="1:24" x14ac:dyDescent="0.35">
      <c r="A76" s="1" t="s">
        <v>82</v>
      </c>
      <c r="B76">
        <v>-77.3</v>
      </c>
      <c r="C76" t="s">
        <v>82</v>
      </c>
      <c r="D76">
        <v>-107.6995</v>
      </c>
      <c r="E76">
        <v>-86.605099999999993</v>
      </c>
      <c r="F76">
        <v>-97.094399999999993</v>
      </c>
      <c r="G76">
        <v>-105.16160000000001</v>
      </c>
      <c r="H76">
        <v>-68.706900000000005</v>
      </c>
      <c r="I76">
        <v>-98.298900000000003</v>
      </c>
      <c r="J76">
        <v>-98.298900000000003</v>
      </c>
      <c r="K76">
        <v>-86.297899999999998</v>
      </c>
      <c r="L76">
        <v>-44.1509</v>
      </c>
      <c r="N76" s="1" t="s">
        <v>85</v>
      </c>
      <c r="O76">
        <v>-50.1</v>
      </c>
      <c r="P76">
        <v>-50.1</v>
      </c>
      <c r="Q76">
        <v>-86.239400000000003</v>
      </c>
      <c r="R76">
        <v>-71.650999999999996</v>
      </c>
      <c r="S76">
        <v>-103.94970000000001</v>
      </c>
      <c r="T76">
        <v>-81.217500000000001</v>
      </c>
      <c r="U76">
        <v>-74.110399999999998</v>
      </c>
      <c r="V76">
        <v>-107.7835</v>
      </c>
      <c r="W76">
        <v>-90.339100000000002</v>
      </c>
      <c r="X76">
        <v>-42.987699999999997</v>
      </c>
    </row>
    <row r="77" spans="1:24" x14ac:dyDescent="0.35">
      <c r="A77" s="1" t="s">
        <v>83</v>
      </c>
      <c r="B77">
        <v>-79.400000000000006</v>
      </c>
      <c r="C77" t="s">
        <v>83</v>
      </c>
      <c r="D77">
        <v>-108.89409999999999</v>
      </c>
      <c r="E77">
        <v>-87.861099999999993</v>
      </c>
      <c r="F77">
        <v>-98.376099999999994</v>
      </c>
      <c r="G77">
        <v>-105.9092</v>
      </c>
      <c r="H77">
        <v>-70.250500000000002</v>
      </c>
      <c r="I77">
        <v>-100.319</v>
      </c>
      <c r="J77">
        <v>-100.319</v>
      </c>
      <c r="K77">
        <v>-86.936300000000003</v>
      </c>
      <c r="L77">
        <v>-45.057099999999998</v>
      </c>
      <c r="N77" s="1" t="s">
        <v>86</v>
      </c>
      <c r="O77">
        <v>-52.5</v>
      </c>
      <c r="P77">
        <v>-52.5</v>
      </c>
      <c r="Q77">
        <v>-85.590599999999995</v>
      </c>
      <c r="R77">
        <v>-71.309100000000001</v>
      </c>
      <c r="S77">
        <v>-103.785</v>
      </c>
      <c r="T77">
        <v>-82.090299999999999</v>
      </c>
      <c r="U77">
        <v>-73.898899999999998</v>
      </c>
      <c r="V77">
        <v>-100.9318</v>
      </c>
      <c r="W77">
        <v>-90.917400000000001</v>
      </c>
      <c r="X77">
        <v>-43.544400000000003</v>
      </c>
    </row>
    <row r="78" spans="1:24" x14ac:dyDescent="0.35">
      <c r="A78" s="1" t="s">
        <v>84</v>
      </c>
      <c r="B78">
        <v>-52.3</v>
      </c>
      <c r="C78" t="s">
        <v>84</v>
      </c>
      <c r="D78">
        <v>-80.342500000000001</v>
      </c>
      <c r="E78">
        <v>-66.3322</v>
      </c>
      <c r="F78">
        <v>-74.160899999999998</v>
      </c>
      <c r="G78">
        <v>-75.434700000000007</v>
      </c>
      <c r="H78">
        <v>-52.841000000000001</v>
      </c>
      <c r="I78">
        <v>-76.517300000000006</v>
      </c>
      <c r="J78">
        <v>-76.517300000000006</v>
      </c>
      <c r="K78">
        <v>-64.212000000000003</v>
      </c>
      <c r="L78">
        <v>-34.129300000000001</v>
      </c>
      <c r="N78" s="1" t="s">
        <v>87</v>
      </c>
      <c r="O78">
        <v>-49.6</v>
      </c>
      <c r="P78">
        <v>-49.6</v>
      </c>
      <c r="Q78">
        <v>-86.072699999999998</v>
      </c>
      <c r="R78">
        <v>-71.685599999999994</v>
      </c>
      <c r="S78">
        <v>-81.444900000000004</v>
      </c>
      <c r="T78">
        <v>-82.770300000000006</v>
      </c>
      <c r="U78">
        <v>-58.555900000000001</v>
      </c>
      <c r="V78">
        <v>-82.559399999999997</v>
      </c>
      <c r="W78">
        <v>-78.080799999999996</v>
      </c>
      <c r="X78">
        <v>-44.451599999999999</v>
      </c>
    </row>
    <row r="79" spans="1:24" x14ac:dyDescent="0.35">
      <c r="A79" s="1" t="s">
        <v>85</v>
      </c>
      <c r="B79">
        <v>-50.1</v>
      </c>
      <c r="C79" t="s">
        <v>85</v>
      </c>
      <c r="D79">
        <v>-85.391000000000005</v>
      </c>
      <c r="E79">
        <v>-70.644999999999996</v>
      </c>
      <c r="F79">
        <v>-78.956299999999999</v>
      </c>
      <c r="G79">
        <v>-79.916899999999998</v>
      </c>
      <c r="H79">
        <v>-55.924100000000003</v>
      </c>
      <c r="I79">
        <v>-75.707899999999995</v>
      </c>
      <c r="J79">
        <v>-75.707899999999995</v>
      </c>
      <c r="K79">
        <v>-69.239599999999996</v>
      </c>
      <c r="L79">
        <v>-37.593800000000002</v>
      </c>
      <c r="N79" s="1" t="s">
        <v>88</v>
      </c>
      <c r="O79">
        <v>-88.5</v>
      </c>
      <c r="P79">
        <v>-88.5</v>
      </c>
      <c r="Q79">
        <v>-119.6968</v>
      </c>
      <c r="R79">
        <v>-96.136799999999994</v>
      </c>
      <c r="S79">
        <v>-80.742199999999997</v>
      </c>
      <c r="T79">
        <v>-83.193299999999994</v>
      </c>
      <c r="U79">
        <v>-58.464300000000001</v>
      </c>
      <c r="V79">
        <v>-82.924700000000001</v>
      </c>
      <c r="W79">
        <v>-76.875500000000002</v>
      </c>
      <c r="X79">
        <v>-47.978999999999999</v>
      </c>
    </row>
    <row r="80" spans="1:24" x14ac:dyDescent="0.35">
      <c r="A80" s="1" t="s">
        <v>86</v>
      </c>
      <c r="B80">
        <v>-52.5</v>
      </c>
      <c r="C80" t="s">
        <v>86</v>
      </c>
      <c r="D80">
        <v>-82.582499999999996</v>
      </c>
      <c r="E80">
        <v>-68.644599999999997</v>
      </c>
      <c r="F80">
        <v>-76.857200000000006</v>
      </c>
      <c r="G80">
        <v>-78.932100000000005</v>
      </c>
      <c r="H80">
        <v>-54.578099999999999</v>
      </c>
      <c r="I80">
        <v>-75.167900000000003</v>
      </c>
      <c r="J80">
        <v>-75.167900000000003</v>
      </c>
      <c r="K80">
        <v>-68.0809</v>
      </c>
      <c r="L80">
        <v>-39.1614</v>
      </c>
      <c r="N80" s="1" t="s">
        <v>89</v>
      </c>
      <c r="O80">
        <v>-89.3</v>
      </c>
      <c r="P80">
        <v>-89.3</v>
      </c>
      <c r="Q80">
        <v>-119.9821</v>
      </c>
      <c r="R80">
        <v>-96.206699999999998</v>
      </c>
      <c r="S80">
        <v>-81.006799999999998</v>
      </c>
      <c r="T80">
        <v>-116.3245</v>
      </c>
      <c r="U80">
        <v>-58.676699999999997</v>
      </c>
      <c r="V80">
        <v>-83.839299999999994</v>
      </c>
      <c r="W80">
        <v>-77.4101</v>
      </c>
      <c r="X80">
        <v>-46.114899999999999</v>
      </c>
    </row>
    <row r="81" spans="1:24" x14ac:dyDescent="0.35">
      <c r="A81" s="1" t="s">
        <v>87</v>
      </c>
      <c r="B81">
        <v>-49.6</v>
      </c>
      <c r="C81" t="s">
        <v>87</v>
      </c>
      <c r="D81">
        <v>-82.698300000000003</v>
      </c>
      <c r="E81">
        <v>-68.497</v>
      </c>
      <c r="F81">
        <v>-76.856899999999996</v>
      </c>
      <c r="G81">
        <v>-78.106399999999994</v>
      </c>
      <c r="H81">
        <v>-54.289200000000001</v>
      </c>
      <c r="I81">
        <v>-72.734800000000007</v>
      </c>
      <c r="J81">
        <v>-72.734800000000007</v>
      </c>
      <c r="K81">
        <v>-68.715000000000003</v>
      </c>
      <c r="L81">
        <v>-38.7761</v>
      </c>
      <c r="N81" s="1" t="s">
        <v>90</v>
      </c>
      <c r="O81">
        <v>-89.4</v>
      </c>
      <c r="P81">
        <v>-89.4</v>
      </c>
      <c r="Q81">
        <v>-120.1566</v>
      </c>
      <c r="R81">
        <v>-96.530500000000004</v>
      </c>
      <c r="S81">
        <v>-82.277699999999996</v>
      </c>
      <c r="T81">
        <v>-116.31319999999999</v>
      </c>
      <c r="U81">
        <v>-59.552599999999998</v>
      </c>
      <c r="V81">
        <v>-88.667599999999993</v>
      </c>
      <c r="W81">
        <v>-78.814099999999996</v>
      </c>
      <c r="X81">
        <v>-47.0533</v>
      </c>
    </row>
    <row r="82" spans="1:24" x14ac:dyDescent="0.35">
      <c r="A82" s="1" t="s">
        <v>88</v>
      </c>
      <c r="B82">
        <v>-88.5</v>
      </c>
      <c r="C82" t="s">
        <v>88</v>
      </c>
      <c r="D82">
        <v>-118.0599</v>
      </c>
      <c r="E82">
        <v>-94.534199999999998</v>
      </c>
      <c r="F82">
        <v>-105.09099999999999</v>
      </c>
      <c r="G82">
        <v>-113.7265</v>
      </c>
      <c r="H82">
        <v>-76.475499999999997</v>
      </c>
      <c r="I82">
        <v>-107.69589999999999</v>
      </c>
      <c r="J82">
        <v>-107.69589999999999</v>
      </c>
      <c r="K82">
        <v>-93.146900000000002</v>
      </c>
      <c r="L82">
        <v>-45.058599999999998</v>
      </c>
      <c r="N82" s="1" t="s">
        <v>91</v>
      </c>
      <c r="O82">
        <v>-89.8</v>
      </c>
      <c r="P82">
        <v>-89.8</v>
      </c>
      <c r="Q82">
        <v>-119.2137</v>
      </c>
      <c r="R82">
        <v>-95.437600000000003</v>
      </c>
      <c r="S82">
        <v>-86.182299999999998</v>
      </c>
      <c r="T82">
        <v>-116.0307</v>
      </c>
      <c r="U82">
        <v>-62.326799999999999</v>
      </c>
      <c r="V82">
        <v>-86.1023</v>
      </c>
      <c r="W82">
        <v>-77.656499999999994</v>
      </c>
      <c r="X82">
        <v>-46.4405</v>
      </c>
    </row>
    <row r="83" spans="1:24" x14ac:dyDescent="0.35">
      <c r="A83" s="1" t="s">
        <v>89</v>
      </c>
      <c r="B83">
        <v>-89.3</v>
      </c>
      <c r="C83" t="s">
        <v>89</v>
      </c>
      <c r="D83">
        <v>-116.0856</v>
      </c>
      <c r="E83">
        <v>-92.440600000000003</v>
      </c>
      <c r="F83">
        <v>-102.4007</v>
      </c>
      <c r="G83">
        <v>-111.0068</v>
      </c>
      <c r="H83">
        <v>-74.731099999999998</v>
      </c>
      <c r="I83">
        <v>-106.5912</v>
      </c>
      <c r="J83">
        <v>-106.5912</v>
      </c>
      <c r="K83">
        <v>-89.6571</v>
      </c>
      <c r="L83">
        <v>-40.552199999999999</v>
      </c>
      <c r="N83" s="1" t="s">
        <v>92</v>
      </c>
      <c r="O83">
        <v>-59.5</v>
      </c>
      <c r="P83">
        <v>-59.5</v>
      </c>
      <c r="Q83">
        <v>-89.450800000000001</v>
      </c>
      <c r="R83">
        <v>-74.444000000000003</v>
      </c>
      <c r="S83">
        <v>-84.82</v>
      </c>
      <c r="T83">
        <v>-116.3026</v>
      </c>
      <c r="U83">
        <v>-60.791499999999999</v>
      </c>
      <c r="V83">
        <v>-81.256699999999995</v>
      </c>
      <c r="W83">
        <v>-76.444500000000005</v>
      </c>
      <c r="X83">
        <v>-48.4557</v>
      </c>
    </row>
    <row r="84" spans="1:24" x14ac:dyDescent="0.35">
      <c r="A84" s="1" t="s">
        <v>90</v>
      </c>
      <c r="B84">
        <v>-89.4</v>
      </c>
      <c r="C84" t="s">
        <v>90</v>
      </c>
      <c r="D84">
        <v>-117.7889</v>
      </c>
      <c r="E84">
        <v>-94.168099999999995</v>
      </c>
      <c r="F84">
        <v>-104.6643</v>
      </c>
      <c r="G84">
        <v>-113.985</v>
      </c>
      <c r="H84">
        <v>-76.474800000000002</v>
      </c>
      <c r="I84">
        <v>-111.2347</v>
      </c>
      <c r="J84">
        <v>-111.2347</v>
      </c>
      <c r="K84">
        <v>-92.151799999999994</v>
      </c>
      <c r="L84">
        <v>-43.937600000000003</v>
      </c>
      <c r="N84" s="1" t="s">
        <v>93</v>
      </c>
      <c r="O84">
        <v>-66.5</v>
      </c>
      <c r="P84">
        <v>-66.5</v>
      </c>
      <c r="Q84">
        <v>-88.180300000000003</v>
      </c>
      <c r="R84">
        <v>-73.291899999999998</v>
      </c>
      <c r="S84">
        <v>-87.006900000000002</v>
      </c>
      <c r="T84">
        <v>-86.856499999999997</v>
      </c>
      <c r="U84">
        <v>-62.696199999999997</v>
      </c>
      <c r="V84">
        <v>-85.665300000000002</v>
      </c>
      <c r="W84">
        <v>-78.487799999999993</v>
      </c>
      <c r="X84">
        <v>-46.098999999999997</v>
      </c>
    </row>
    <row r="85" spans="1:24" x14ac:dyDescent="0.35">
      <c r="A85" s="1" t="s">
        <v>91</v>
      </c>
      <c r="B85">
        <v>-89.8</v>
      </c>
      <c r="C85" t="s">
        <v>91</v>
      </c>
      <c r="D85">
        <v>-117.0342</v>
      </c>
      <c r="E85">
        <v>-93.549899999999994</v>
      </c>
      <c r="F85">
        <v>-104.2234</v>
      </c>
      <c r="G85">
        <v>-113.7235</v>
      </c>
      <c r="H85">
        <v>-75.56</v>
      </c>
      <c r="I85">
        <v>-108.1413</v>
      </c>
      <c r="J85">
        <v>-108.1413</v>
      </c>
      <c r="K85">
        <v>-91.285700000000006</v>
      </c>
      <c r="L85">
        <v>-43.8414</v>
      </c>
      <c r="N85" s="1" t="s">
        <v>94</v>
      </c>
      <c r="O85">
        <v>-58.9</v>
      </c>
      <c r="P85">
        <v>-58.9</v>
      </c>
      <c r="Q85">
        <v>-88.405500000000004</v>
      </c>
      <c r="R85">
        <v>-73.307000000000002</v>
      </c>
      <c r="S85">
        <v>-89.577600000000004</v>
      </c>
      <c r="T85">
        <v>-85.112200000000001</v>
      </c>
      <c r="U85">
        <v>-64.876099999999994</v>
      </c>
      <c r="V85">
        <v>-95.704800000000006</v>
      </c>
      <c r="W85">
        <v>-80.334199999999996</v>
      </c>
      <c r="X85">
        <v>-47.7562</v>
      </c>
    </row>
    <row r="86" spans="1:24" x14ac:dyDescent="0.35">
      <c r="A86" s="1" t="s">
        <v>92</v>
      </c>
      <c r="B86">
        <v>-59.5</v>
      </c>
      <c r="C86" t="s">
        <v>92</v>
      </c>
      <c r="D86">
        <v>-85.316400000000002</v>
      </c>
      <c r="E86">
        <v>-70.944000000000003</v>
      </c>
      <c r="F86">
        <v>-79.799199999999999</v>
      </c>
      <c r="G86">
        <v>-81.967200000000005</v>
      </c>
      <c r="H86">
        <v>-56.3461</v>
      </c>
      <c r="I86">
        <v>-75.651600000000002</v>
      </c>
      <c r="J86">
        <v>-75.651600000000002</v>
      </c>
      <c r="K86">
        <v>-72.467100000000002</v>
      </c>
      <c r="L86">
        <v>-42.434699999999999</v>
      </c>
      <c r="N86" s="1" t="s">
        <v>95</v>
      </c>
      <c r="O86">
        <v>-64.400000000000006</v>
      </c>
      <c r="P86">
        <v>-64.400000000000006</v>
      </c>
      <c r="Q86">
        <v>-87.285399999999996</v>
      </c>
      <c r="R86">
        <v>-72.150599999999997</v>
      </c>
      <c r="S86">
        <v>-91.053799999999995</v>
      </c>
      <c r="T86">
        <v>-85.104799999999997</v>
      </c>
      <c r="U86">
        <v>-65.859700000000004</v>
      </c>
      <c r="V86">
        <v>-93.203400000000002</v>
      </c>
      <c r="W86">
        <v>-82.567400000000006</v>
      </c>
      <c r="X86">
        <v>-46.108899999999998</v>
      </c>
    </row>
    <row r="87" spans="1:24" x14ac:dyDescent="0.35">
      <c r="A87" s="1" t="s">
        <v>93</v>
      </c>
      <c r="B87">
        <v>-66.5</v>
      </c>
      <c r="C87" t="s">
        <v>93</v>
      </c>
      <c r="D87">
        <v>-81.972700000000003</v>
      </c>
      <c r="E87">
        <v>-67.834299999999999</v>
      </c>
      <c r="F87">
        <v>-76.2697</v>
      </c>
      <c r="G87">
        <v>-79.801000000000002</v>
      </c>
      <c r="H87">
        <v>-53.380899999999997</v>
      </c>
      <c r="I87">
        <v>-72.660899999999998</v>
      </c>
      <c r="J87">
        <v>-72.660899999999998</v>
      </c>
      <c r="K87">
        <v>-69.389499999999998</v>
      </c>
      <c r="L87">
        <v>-39.525199999999998</v>
      </c>
      <c r="N87" s="1" t="s">
        <v>96</v>
      </c>
      <c r="O87">
        <v>-71.900000000000006</v>
      </c>
      <c r="P87">
        <v>-71.900000000000006</v>
      </c>
      <c r="Q87">
        <v>-109.7174</v>
      </c>
      <c r="R87">
        <v>-90.721900000000005</v>
      </c>
      <c r="S87">
        <v>-89.247</v>
      </c>
      <c r="T87">
        <v>-83.933999999999997</v>
      </c>
      <c r="U87">
        <v>-64.896799999999999</v>
      </c>
      <c r="V87">
        <v>-91.121499999999997</v>
      </c>
      <c r="W87">
        <v>-81.270899999999997</v>
      </c>
      <c r="X87">
        <v>-54.3521</v>
      </c>
    </row>
    <row r="88" spans="1:24" x14ac:dyDescent="0.35">
      <c r="A88" s="1" t="s">
        <v>94</v>
      </c>
      <c r="B88">
        <v>-58.9</v>
      </c>
      <c r="C88" t="s">
        <v>94</v>
      </c>
      <c r="D88">
        <v>-84.090900000000005</v>
      </c>
      <c r="E88">
        <v>-69.578299999999999</v>
      </c>
      <c r="F88">
        <v>-78.004000000000005</v>
      </c>
      <c r="G88">
        <v>-80.950500000000005</v>
      </c>
      <c r="H88">
        <v>-55.642600000000002</v>
      </c>
      <c r="I88">
        <v>-75.069599999999994</v>
      </c>
      <c r="J88">
        <v>-75.069599999999994</v>
      </c>
      <c r="K88">
        <v>-71.572100000000006</v>
      </c>
      <c r="L88">
        <v>-41.868200000000002</v>
      </c>
      <c r="N88" s="1" t="s">
        <v>97</v>
      </c>
      <c r="O88">
        <v>-76.5</v>
      </c>
      <c r="P88">
        <v>-76.5</v>
      </c>
      <c r="Q88">
        <v>-109.7818</v>
      </c>
      <c r="R88">
        <v>-90.795400000000001</v>
      </c>
      <c r="S88">
        <v>-88.715800000000002</v>
      </c>
      <c r="T88">
        <v>-107.5463</v>
      </c>
      <c r="U88">
        <v>-64.864800000000002</v>
      </c>
      <c r="V88">
        <v>-91.600499999999997</v>
      </c>
      <c r="W88">
        <v>-80.813800000000001</v>
      </c>
      <c r="X88">
        <v>-54.281799999999997</v>
      </c>
    </row>
    <row r="89" spans="1:24" x14ac:dyDescent="0.35">
      <c r="A89" s="1" t="s">
        <v>95</v>
      </c>
      <c r="B89">
        <v>-64.400000000000006</v>
      </c>
      <c r="C89" t="s">
        <v>95</v>
      </c>
      <c r="D89">
        <v>-79.397300000000001</v>
      </c>
      <c r="E89">
        <v>-65.150000000000006</v>
      </c>
      <c r="F89">
        <v>-73.101500000000001</v>
      </c>
      <c r="G89">
        <v>-74.588499999999996</v>
      </c>
      <c r="H89">
        <v>-52.244300000000003</v>
      </c>
      <c r="I89">
        <v>-69.054500000000004</v>
      </c>
      <c r="J89">
        <v>-69.054500000000004</v>
      </c>
      <c r="K89">
        <v>-66.705600000000004</v>
      </c>
      <c r="L89">
        <v>-36.091299999999997</v>
      </c>
      <c r="N89" s="1" t="s">
        <v>98</v>
      </c>
      <c r="O89">
        <v>-70.7</v>
      </c>
      <c r="P89">
        <v>-70.7</v>
      </c>
      <c r="Q89">
        <v>-109.17910000000001</v>
      </c>
      <c r="R89">
        <v>-90.016300000000001</v>
      </c>
      <c r="S89">
        <v>-89.294499999999999</v>
      </c>
      <c r="T89">
        <v>-106.89579999999999</v>
      </c>
      <c r="U89">
        <v>-65.040400000000005</v>
      </c>
      <c r="V89">
        <v>-91.924099999999996</v>
      </c>
      <c r="W89">
        <v>-81.817599999999999</v>
      </c>
      <c r="X89">
        <v>-53.686799999999998</v>
      </c>
    </row>
    <row r="90" spans="1:24" x14ac:dyDescent="0.35">
      <c r="A90" s="1" t="s">
        <v>96</v>
      </c>
      <c r="B90">
        <v>-71.900000000000006</v>
      </c>
      <c r="C90" t="s">
        <v>96</v>
      </c>
      <c r="D90">
        <v>-109.7938</v>
      </c>
      <c r="E90">
        <v>-90.841399999999993</v>
      </c>
      <c r="F90">
        <v>-101.8571</v>
      </c>
      <c r="G90">
        <v>-107.76430000000001</v>
      </c>
      <c r="H90">
        <v>-73.442999999999998</v>
      </c>
      <c r="I90">
        <v>-98.469300000000004</v>
      </c>
      <c r="J90">
        <v>-98.469300000000004</v>
      </c>
      <c r="K90">
        <v>-91.694100000000006</v>
      </c>
      <c r="L90">
        <v>-54.430999999999997</v>
      </c>
      <c r="N90" s="1" t="s">
        <v>99</v>
      </c>
      <c r="O90">
        <v>-69.2</v>
      </c>
      <c r="P90">
        <v>-69.2</v>
      </c>
      <c r="Q90">
        <v>-103.565</v>
      </c>
      <c r="R90">
        <v>-82.102099999999993</v>
      </c>
      <c r="S90">
        <v>-91.171300000000002</v>
      </c>
      <c r="T90">
        <v>-107.0594</v>
      </c>
      <c r="U90">
        <v>-66.832099999999997</v>
      </c>
      <c r="V90">
        <v>-96.259500000000003</v>
      </c>
      <c r="W90">
        <v>-82.453599999999994</v>
      </c>
      <c r="X90">
        <v>-38.951799999999999</v>
      </c>
    </row>
    <row r="91" spans="1:24" x14ac:dyDescent="0.35">
      <c r="A91" s="1" t="s">
        <v>97</v>
      </c>
      <c r="B91">
        <v>-76.5</v>
      </c>
      <c r="C91" t="s">
        <v>97</v>
      </c>
      <c r="D91">
        <v>-109.4289</v>
      </c>
      <c r="E91">
        <v>-90.504400000000004</v>
      </c>
      <c r="F91">
        <v>-101.47839999999999</v>
      </c>
      <c r="G91">
        <v>-106.9498</v>
      </c>
      <c r="H91">
        <v>-73.410799999999995</v>
      </c>
      <c r="I91">
        <v>-103.17749999999999</v>
      </c>
      <c r="J91">
        <v>-103.17749999999999</v>
      </c>
      <c r="K91">
        <v>-90.989000000000004</v>
      </c>
      <c r="L91">
        <v>-53.773299999999999</v>
      </c>
      <c r="N91" s="1" t="s">
        <v>100</v>
      </c>
      <c r="O91">
        <v>-63.7</v>
      </c>
      <c r="P91">
        <v>-63.7</v>
      </c>
      <c r="Q91">
        <v>-102.2662</v>
      </c>
      <c r="R91">
        <v>-80.945999999999998</v>
      </c>
      <c r="S91">
        <v>-90.049300000000002</v>
      </c>
      <c r="T91">
        <v>-101.3531</v>
      </c>
      <c r="U91">
        <v>-65.544300000000007</v>
      </c>
      <c r="V91">
        <v>-96.851600000000005</v>
      </c>
      <c r="W91">
        <v>-81.056600000000003</v>
      </c>
      <c r="X91">
        <v>-37.503399999999999</v>
      </c>
    </row>
    <row r="92" spans="1:24" x14ac:dyDescent="0.35">
      <c r="A92" s="1" t="s">
        <v>98</v>
      </c>
      <c r="B92">
        <v>-70.7</v>
      </c>
      <c r="C92" t="s">
        <v>98</v>
      </c>
      <c r="D92">
        <v>-108.9717</v>
      </c>
      <c r="E92">
        <v>-89.817999999999998</v>
      </c>
      <c r="F92">
        <v>-100.6716</v>
      </c>
      <c r="G92">
        <v>-106.68899999999999</v>
      </c>
      <c r="H92">
        <v>-72.825199999999995</v>
      </c>
      <c r="I92">
        <v>-101.6823</v>
      </c>
      <c r="J92">
        <v>-101.6823</v>
      </c>
      <c r="K92">
        <v>-90.487200000000001</v>
      </c>
      <c r="L92">
        <v>-53.609000000000002</v>
      </c>
      <c r="N92" s="1" t="s">
        <v>101</v>
      </c>
      <c r="O92">
        <v>-63.6</v>
      </c>
      <c r="P92">
        <v>-63.6</v>
      </c>
      <c r="Q92">
        <v>-101.6828</v>
      </c>
      <c r="R92">
        <v>-80.122500000000002</v>
      </c>
      <c r="S92">
        <v>-89.037700000000001</v>
      </c>
      <c r="T92">
        <v>-98.826999999999998</v>
      </c>
      <c r="U92">
        <v>-65.148200000000003</v>
      </c>
      <c r="V92">
        <v>-96.046800000000005</v>
      </c>
      <c r="W92">
        <v>-79.559100000000001</v>
      </c>
      <c r="X92">
        <v>-35.476999999999997</v>
      </c>
    </row>
    <row r="93" spans="1:24" x14ac:dyDescent="0.35">
      <c r="A93" s="1" t="s">
        <v>99</v>
      </c>
      <c r="B93">
        <v>-69.2</v>
      </c>
      <c r="C93" t="s">
        <v>99</v>
      </c>
      <c r="D93">
        <v>-100.4901</v>
      </c>
      <c r="E93">
        <v>-79.575500000000005</v>
      </c>
      <c r="F93">
        <v>-88.084900000000005</v>
      </c>
      <c r="G93">
        <v>-97.451999999999998</v>
      </c>
      <c r="H93">
        <v>-65.515799999999999</v>
      </c>
      <c r="I93">
        <v>-93.337599999999995</v>
      </c>
      <c r="J93">
        <v>-93.337599999999995</v>
      </c>
      <c r="K93">
        <v>-78.147900000000007</v>
      </c>
      <c r="L93">
        <v>-34.202199999999998</v>
      </c>
      <c r="N93" s="1" t="s">
        <v>102</v>
      </c>
      <c r="O93">
        <v>-77</v>
      </c>
      <c r="P93">
        <v>-77</v>
      </c>
      <c r="Q93">
        <v>-113.22929999999999</v>
      </c>
      <c r="R93">
        <v>-92.192300000000003</v>
      </c>
      <c r="S93">
        <v>-103.78830000000001</v>
      </c>
      <c r="T93">
        <v>-97.923299999999998</v>
      </c>
      <c r="U93">
        <v>-74.181299999999993</v>
      </c>
      <c r="V93">
        <v>-108.94499999999999</v>
      </c>
      <c r="W93">
        <v>-92.391099999999994</v>
      </c>
      <c r="X93">
        <v>-50.228900000000003</v>
      </c>
    </row>
    <row r="94" spans="1:24" x14ac:dyDescent="0.35">
      <c r="A94" s="1" t="s">
        <v>100</v>
      </c>
      <c r="B94">
        <v>-63.7</v>
      </c>
      <c r="C94" t="s">
        <v>100</v>
      </c>
      <c r="D94">
        <v>-98.450800000000001</v>
      </c>
      <c r="E94">
        <v>-77.644599999999997</v>
      </c>
      <c r="F94">
        <v>-85.855999999999995</v>
      </c>
      <c r="G94">
        <v>-94.37</v>
      </c>
      <c r="H94">
        <v>-63.726300000000002</v>
      </c>
      <c r="I94">
        <v>-93.109800000000007</v>
      </c>
      <c r="J94">
        <v>-93.109800000000007</v>
      </c>
      <c r="K94">
        <v>-76.215000000000003</v>
      </c>
      <c r="L94">
        <v>-31.5808</v>
      </c>
      <c r="N94" s="1" t="s">
        <v>103</v>
      </c>
      <c r="O94">
        <v>-78.099999999999994</v>
      </c>
      <c r="P94">
        <v>-78.099999999999994</v>
      </c>
      <c r="Q94">
        <v>-111.36920000000001</v>
      </c>
      <c r="R94">
        <v>-90.188599999999994</v>
      </c>
      <c r="S94">
        <v>-101.3717</v>
      </c>
      <c r="T94">
        <v>-111.3539</v>
      </c>
      <c r="U94">
        <v>-72.305899999999994</v>
      </c>
      <c r="V94">
        <v>-101.5158</v>
      </c>
      <c r="W94">
        <v>-90.587999999999994</v>
      </c>
      <c r="X94">
        <v>-48.003500000000003</v>
      </c>
    </row>
    <row r="95" spans="1:24" x14ac:dyDescent="0.35">
      <c r="A95" s="1" t="s">
        <v>101</v>
      </c>
      <c r="B95">
        <v>-63.6</v>
      </c>
      <c r="C95" t="s">
        <v>101</v>
      </c>
      <c r="D95">
        <v>-98.391199999999998</v>
      </c>
      <c r="E95">
        <v>-77.364500000000007</v>
      </c>
      <c r="F95">
        <v>-85.605500000000006</v>
      </c>
      <c r="G95">
        <v>-93.077200000000005</v>
      </c>
      <c r="H95">
        <v>-63.326799999999999</v>
      </c>
      <c r="I95">
        <v>-92.902500000000003</v>
      </c>
      <c r="J95">
        <v>-92.902500000000003</v>
      </c>
      <c r="K95">
        <v>-75.743799999999993</v>
      </c>
      <c r="L95">
        <v>-30.764600000000002</v>
      </c>
      <c r="N95" s="1" t="s">
        <v>104</v>
      </c>
      <c r="O95">
        <v>-73.400000000000006</v>
      </c>
      <c r="P95">
        <v>-73.400000000000006</v>
      </c>
      <c r="Q95">
        <v>-111.9622</v>
      </c>
      <c r="R95">
        <v>-90.730800000000002</v>
      </c>
      <c r="S95">
        <v>-101.9521</v>
      </c>
      <c r="T95">
        <v>-108.6189</v>
      </c>
      <c r="U95">
        <v>-72.841499999999996</v>
      </c>
      <c r="V95">
        <v>-102.96599999999999</v>
      </c>
      <c r="W95">
        <v>-90.830200000000005</v>
      </c>
      <c r="X95">
        <v>-47.8643</v>
      </c>
    </row>
    <row r="96" spans="1:24" x14ac:dyDescent="0.35">
      <c r="A96" s="1" t="s">
        <v>102</v>
      </c>
      <c r="B96">
        <v>-77</v>
      </c>
      <c r="C96" t="s">
        <v>102</v>
      </c>
      <c r="D96">
        <v>-108.4562</v>
      </c>
      <c r="E96">
        <v>-87.955100000000002</v>
      </c>
      <c r="F96">
        <v>-98.861800000000002</v>
      </c>
      <c r="G96">
        <v>-106.0008</v>
      </c>
      <c r="H96">
        <v>-70.891900000000007</v>
      </c>
      <c r="I96">
        <v>-105.06789999999999</v>
      </c>
      <c r="J96">
        <v>-105.06789999999999</v>
      </c>
      <c r="K96">
        <v>-87.129900000000006</v>
      </c>
      <c r="L96">
        <v>-43.536499999999997</v>
      </c>
      <c r="N96" s="1" t="s">
        <v>105</v>
      </c>
      <c r="O96">
        <v>-87.6</v>
      </c>
      <c r="P96">
        <v>-87.6</v>
      </c>
      <c r="Q96">
        <v>-124.56310000000001</v>
      </c>
      <c r="R96">
        <v>-102.5324</v>
      </c>
      <c r="S96">
        <v>-115.5779</v>
      </c>
      <c r="T96">
        <v>-109.4969</v>
      </c>
      <c r="U96">
        <v>-81.517600000000002</v>
      </c>
      <c r="V96">
        <v>-115.3541</v>
      </c>
      <c r="W96">
        <v>-101.2984</v>
      </c>
      <c r="X96">
        <v>-59.017699999999998</v>
      </c>
    </row>
    <row r="97" spans="1:24" x14ac:dyDescent="0.35">
      <c r="A97" s="1" t="s">
        <v>103</v>
      </c>
      <c r="B97">
        <v>-78.099999999999994</v>
      </c>
      <c r="C97" t="s">
        <v>103</v>
      </c>
      <c r="D97">
        <v>-106.5185</v>
      </c>
      <c r="E97">
        <v>-86.178299999999993</v>
      </c>
      <c r="F97">
        <v>-96.655000000000001</v>
      </c>
      <c r="G97">
        <v>-103.459</v>
      </c>
      <c r="H97">
        <v>-70.286100000000005</v>
      </c>
      <c r="I97">
        <v>-97.003100000000003</v>
      </c>
      <c r="J97">
        <v>-97.003100000000003</v>
      </c>
      <c r="K97">
        <v>-84.612499999999997</v>
      </c>
      <c r="L97">
        <v>-39.501199999999997</v>
      </c>
      <c r="N97" s="1" t="s">
        <v>106</v>
      </c>
      <c r="O97">
        <v>-87.9</v>
      </c>
      <c r="P97">
        <v>-87.9</v>
      </c>
      <c r="Q97">
        <v>-125.3969</v>
      </c>
      <c r="R97">
        <v>-103.34139999999999</v>
      </c>
      <c r="S97">
        <v>-116.51090000000001</v>
      </c>
      <c r="T97">
        <v>-120.2243</v>
      </c>
      <c r="U97">
        <v>-82.160200000000003</v>
      </c>
      <c r="V97">
        <v>-115.7758</v>
      </c>
      <c r="W97">
        <v>-102.2666</v>
      </c>
      <c r="X97">
        <v>-59.291600000000003</v>
      </c>
    </row>
    <row r="98" spans="1:24" x14ac:dyDescent="0.35">
      <c r="A98" s="1" t="s">
        <v>104</v>
      </c>
      <c r="B98">
        <v>-73.400000000000006</v>
      </c>
      <c r="C98" t="s">
        <v>104</v>
      </c>
      <c r="D98">
        <v>-108.3201</v>
      </c>
      <c r="E98">
        <v>-87.694699999999997</v>
      </c>
      <c r="F98">
        <v>-98.426199999999994</v>
      </c>
      <c r="G98">
        <v>-104.6695</v>
      </c>
      <c r="H98">
        <v>-71.026899999999998</v>
      </c>
      <c r="I98">
        <v>-99.115399999999994</v>
      </c>
      <c r="J98">
        <v>-99.115399999999994</v>
      </c>
      <c r="K98">
        <v>-86.526300000000006</v>
      </c>
      <c r="L98">
        <v>-42.351900000000001</v>
      </c>
      <c r="N98" s="1" t="s">
        <v>107</v>
      </c>
      <c r="O98">
        <v>-87.1</v>
      </c>
      <c r="P98">
        <v>-87.1</v>
      </c>
      <c r="Q98">
        <v>-124.68559999999999</v>
      </c>
      <c r="R98">
        <v>-102.52549999999999</v>
      </c>
      <c r="S98">
        <v>-115.4988</v>
      </c>
      <c r="T98">
        <v>-121.3309</v>
      </c>
      <c r="U98">
        <v>-81.377300000000005</v>
      </c>
      <c r="V98">
        <v>-115.35850000000001</v>
      </c>
      <c r="W98">
        <v>-101.57210000000001</v>
      </c>
      <c r="X98">
        <v>-58.661700000000003</v>
      </c>
    </row>
    <row r="99" spans="1:24" x14ac:dyDescent="0.35">
      <c r="A99" s="1" t="s">
        <v>105</v>
      </c>
      <c r="B99">
        <v>-87.6</v>
      </c>
      <c r="C99" t="s">
        <v>105</v>
      </c>
      <c r="D99">
        <v>-121.7557</v>
      </c>
      <c r="E99">
        <v>-100.58329999999999</v>
      </c>
      <c r="F99">
        <v>-113.2264</v>
      </c>
      <c r="G99">
        <v>-117.09</v>
      </c>
      <c r="H99">
        <v>-81.831999999999994</v>
      </c>
      <c r="I99">
        <v>-110.8391</v>
      </c>
      <c r="J99">
        <v>-110.8391</v>
      </c>
      <c r="K99">
        <v>-96.248999999999995</v>
      </c>
      <c r="L99">
        <v>-51.366</v>
      </c>
      <c r="N99" s="1" t="s">
        <v>120</v>
      </c>
      <c r="O99">
        <v>-69.5</v>
      </c>
      <c r="P99">
        <v>-69.5</v>
      </c>
      <c r="Q99">
        <v>-105.6968</v>
      </c>
      <c r="R99">
        <v>-84.249099999999999</v>
      </c>
      <c r="S99">
        <v>-94.384200000000007</v>
      </c>
      <c r="T99">
        <v>-121.38460000000001</v>
      </c>
      <c r="U99">
        <v>-67.927000000000007</v>
      </c>
      <c r="V99">
        <v>-96.382400000000004</v>
      </c>
      <c r="W99">
        <v>-84.905000000000001</v>
      </c>
      <c r="X99">
        <v>-41.322600000000001</v>
      </c>
    </row>
    <row r="100" spans="1:24" x14ac:dyDescent="0.35">
      <c r="A100" s="1" t="s">
        <v>106</v>
      </c>
      <c r="B100">
        <v>-87.9</v>
      </c>
      <c r="C100" t="s">
        <v>106</v>
      </c>
      <c r="D100">
        <v>-118.79640000000001</v>
      </c>
      <c r="E100">
        <v>-97.694599999999994</v>
      </c>
      <c r="F100">
        <v>-110.07640000000001</v>
      </c>
      <c r="G100">
        <v>-114.7102</v>
      </c>
      <c r="H100">
        <v>-78.254800000000003</v>
      </c>
      <c r="I100">
        <v>-108.77930000000001</v>
      </c>
      <c r="J100">
        <v>-108.77930000000001</v>
      </c>
      <c r="K100">
        <v>-94.561499999999995</v>
      </c>
      <c r="L100">
        <v>-50.937199999999997</v>
      </c>
      <c r="N100" s="1" t="s">
        <v>121</v>
      </c>
      <c r="O100">
        <v>-69.2</v>
      </c>
      <c r="P100">
        <v>-69.2</v>
      </c>
      <c r="Q100">
        <v>-106.4211</v>
      </c>
      <c r="R100">
        <v>-84.993799999999993</v>
      </c>
      <c r="S100">
        <v>-95.1374</v>
      </c>
      <c r="T100">
        <v>-103.2475</v>
      </c>
      <c r="U100">
        <v>-68.760300000000001</v>
      </c>
      <c r="V100">
        <v>-97.258600000000001</v>
      </c>
      <c r="W100">
        <v>-85.862099999999998</v>
      </c>
      <c r="X100">
        <v>-42.495399999999997</v>
      </c>
    </row>
    <row r="101" spans="1:24" x14ac:dyDescent="0.35">
      <c r="A101" s="1" t="s">
        <v>107</v>
      </c>
      <c r="B101">
        <v>-87.1</v>
      </c>
      <c r="C101" t="s">
        <v>107</v>
      </c>
      <c r="D101">
        <v>-118.91970000000001</v>
      </c>
      <c r="E101">
        <v>-97.622</v>
      </c>
      <c r="F101">
        <v>-109.8214</v>
      </c>
      <c r="G101">
        <v>-115.12860000000001</v>
      </c>
      <c r="H101">
        <v>-77.628500000000003</v>
      </c>
      <c r="I101">
        <v>-109.3755</v>
      </c>
      <c r="J101">
        <v>-109.3755</v>
      </c>
      <c r="K101">
        <v>-94.951499999999996</v>
      </c>
      <c r="L101">
        <v>-52.071100000000001</v>
      </c>
      <c r="N101" s="1" t="s">
        <v>122</v>
      </c>
      <c r="O101">
        <v>-74.900000000000006</v>
      </c>
      <c r="P101">
        <v>-74.900000000000006</v>
      </c>
      <c r="Q101">
        <v>-107.301</v>
      </c>
      <c r="R101">
        <v>-85.957599999999999</v>
      </c>
      <c r="S101">
        <v>-96.508799999999994</v>
      </c>
      <c r="T101">
        <v>-103.9466</v>
      </c>
      <c r="U101">
        <v>-69.634200000000007</v>
      </c>
      <c r="V101">
        <v>-101.9418</v>
      </c>
      <c r="W101">
        <v>-86.602999999999994</v>
      </c>
      <c r="X101">
        <v>-42.8902</v>
      </c>
    </row>
    <row r="102" spans="1:24" x14ac:dyDescent="0.35">
      <c r="A102" s="1" t="s">
        <v>108</v>
      </c>
      <c r="B102">
        <v>-124.6</v>
      </c>
      <c r="C102" t="s">
        <v>108</v>
      </c>
      <c r="D102">
        <v>-188.2859</v>
      </c>
      <c r="E102">
        <v>-149.45089999999999</v>
      </c>
      <c r="F102">
        <v>-166.96449999999999</v>
      </c>
      <c r="G102">
        <v>-180.79089999999999</v>
      </c>
      <c r="H102">
        <v>-122.2835</v>
      </c>
      <c r="I102">
        <v>-185.6635</v>
      </c>
      <c r="J102">
        <v>-185.6635</v>
      </c>
      <c r="K102">
        <v>-126.1677</v>
      </c>
      <c r="L102">
        <v>-41.409799999999997</v>
      </c>
      <c r="N102" s="1" t="s">
        <v>123</v>
      </c>
      <c r="O102">
        <v>-75.900000000000006</v>
      </c>
      <c r="P102">
        <v>-75.900000000000006</v>
      </c>
      <c r="Q102">
        <v>-111.83280000000001</v>
      </c>
      <c r="R102">
        <v>-91.102699999999999</v>
      </c>
      <c r="S102">
        <v>-102.3283</v>
      </c>
      <c r="T102">
        <v>-105.203</v>
      </c>
      <c r="U102">
        <v>-72.955100000000002</v>
      </c>
      <c r="V102">
        <v>-100.3317</v>
      </c>
      <c r="W102">
        <v>-90.833699999999993</v>
      </c>
      <c r="X102">
        <v>-49.29</v>
      </c>
    </row>
    <row r="103" spans="1:24" x14ac:dyDescent="0.35">
      <c r="A103" s="1" t="s">
        <v>109</v>
      </c>
      <c r="B103">
        <v>-129.5</v>
      </c>
      <c r="C103" t="s">
        <v>109</v>
      </c>
      <c r="D103">
        <v>-186.30850000000001</v>
      </c>
      <c r="E103">
        <v>-148.0532</v>
      </c>
      <c r="F103">
        <v>-165.3776</v>
      </c>
      <c r="G103">
        <v>-179.96969999999999</v>
      </c>
      <c r="H103">
        <v>-121.4349</v>
      </c>
      <c r="I103">
        <v>-179.6636</v>
      </c>
      <c r="J103">
        <v>-179.6636</v>
      </c>
      <c r="K103">
        <v>-125.6815</v>
      </c>
      <c r="L103">
        <v>-41.938299999999998</v>
      </c>
      <c r="N103" s="1" t="s">
        <v>124</v>
      </c>
      <c r="O103">
        <v>-73.400000000000006</v>
      </c>
      <c r="P103">
        <v>-73.400000000000006</v>
      </c>
      <c r="Q103">
        <v>-112.7325</v>
      </c>
      <c r="R103">
        <v>-92.170100000000005</v>
      </c>
      <c r="S103">
        <v>-103.5116</v>
      </c>
      <c r="T103">
        <v>-109.33459999999999</v>
      </c>
      <c r="U103">
        <v>-74.339200000000005</v>
      </c>
      <c r="V103">
        <v>-100.27330000000001</v>
      </c>
      <c r="W103">
        <v>-92.248999999999995</v>
      </c>
      <c r="X103">
        <v>-51.087400000000002</v>
      </c>
    </row>
    <row r="104" spans="1:24" x14ac:dyDescent="0.35">
      <c r="A104" s="1" t="s">
        <v>110</v>
      </c>
      <c r="B104">
        <v>-117.6</v>
      </c>
      <c r="C104" t="s">
        <v>110</v>
      </c>
      <c r="D104">
        <v>-188.90260000000001</v>
      </c>
      <c r="E104">
        <v>-150.08199999999999</v>
      </c>
      <c r="F104">
        <v>-167.7422</v>
      </c>
      <c r="G104">
        <v>-182.25790000000001</v>
      </c>
      <c r="H104">
        <v>-122.7657</v>
      </c>
      <c r="I104">
        <v>-181.61189999999999</v>
      </c>
      <c r="J104">
        <v>-181.61189999999999</v>
      </c>
      <c r="K104">
        <v>-128.05269999999999</v>
      </c>
      <c r="L104">
        <v>-43.681399999999996</v>
      </c>
      <c r="N104" s="1" t="s">
        <v>125</v>
      </c>
      <c r="O104">
        <v>-73.900000000000006</v>
      </c>
      <c r="P104">
        <v>-73.900000000000006</v>
      </c>
      <c r="Q104">
        <v>-111.3762</v>
      </c>
      <c r="R104">
        <v>-90.591099999999997</v>
      </c>
      <c r="S104">
        <v>-101.7296</v>
      </c>
      <c r="T104">
        <v>-110.64919999999999</v>
      </c>
      <c r="U104">
        <v>-72.8155</v>
      </c>
      <c r="V104">
        <v>-99.595600000000005</v>
      </c>
      <c r="W104">
        <v>-90.615600000000001</v>
      </c>
      <c r="X104">
        <v>-49.062199999999997</v>
      </c>
    </row>
    <row r="105" spans="1:24" x14ac:dyDescent="0.35">
      <c r="A105" s="1" t="s">
        <v>111</v>
      </c>
      <c r="B105">
        <v>-116.6</v>
      </c>
      <c r="C105" t="s">
        <v>111</v>
      </c>
      <c r="D105">
        <v>-188.07509999999999</v>
      </c>
      <c r="E105">
        <v>-149.1223</v>
      </c>
      <c r="F105">
        <v>-166.5086</v>
      </c>
      <c r="G105">
        <v>-181.649</v>
      </c>
      <c r="H105">
        <v>-122.827</v>
      </c>
      <c r="I105">
        <v>-179.47980000000001</v>
      </c>
      <c r="J105">
        <v>-179.47980000000001</v>
      </c>
      <c r="K105">
        <v>-126.74469999999999</v>
      </c>
      <c r="L105">
        <v>-41.644500000000001</v>
      </c>
      <c r="N105" s="1" t="s">
        <v>126</v>
      </c>
      <c r="O105">
        <v>-73.400000000000006</v>
      </c>
      <c r="P105">
        <v>-73.400000000000006</v>
      </c>
      <c r="Q105">
        <v>-107.8596</v>
      </c>
      <c r="R105">
        <v>-87.074700000000007</v>
      </c>
      <c r="S105">
        <v>-97.650800000000004</v>
      </c>
      <c r="T105">
        <v>-108.8205</v>
      </c>
      <c r="U105">
        <v>-70.409000000000006</v>
      </c>
      <c r="V105">
        <v>-102.18640000000001</v>
      </c>
      <c r="W105">
        <v>-87.238299999999995</v>
      </c>
      <c r="X105">
        <v>-44.5291</v>
      </c>
    </row>
    <row r="106" spans="1:24" x14ac:dyDescent="0.35">
      <c r="A106" s="1" t="s">
        <v>112</v>
      </c>
      <c r="B106">
        <v>-115.3</v>
      </c>
      <c r="C106" t="s">
        <v>112</v>
      </c>
      <c r="D106">
        <v>-185.4572</v>
      </c>
      <c r="E106">
        <v>-146.95519999999999</v>
      </c>
      <c r="F106">
        <v>-164.03280000000001</v>
      </c>
      <c r="G106">
        <v>-179.75819999999999</v>
      </c>
      <c r="H106">
        <v>-120.55840000000001</v>
      </c>
      <c r="I106">
        <v>-176.06649999999999</v>
      </c>
      <c r="J106">
        <v>-176.06649999999999</v>
      </c>
      <c r="K106">
        <v>-125.1534</v>
      </c>
      <c r="L106">
        <v>-40.6158</v>
      </c>
      <c r="N106" s="1" t="s">
        <v>127</v>
      </c>
      <c r="O106">
        <v>-70.8</v>
      </c>
      <c r="P106">
        <v>-70.8</v>
      </c>
      <c r="Q106">
        <v>-107.7787</v>
      </c>
      <c r="R106">
        <v>-87.197299999999998</v>
      </c>
      <c r="S106">
        <v>-97.784000000000006</v>
      </c>
      <c r="T106">
        <v>-106.411</v>
      </c>
      <c r="U106">
        <v>-70.697699999999998</v>
      </c>
      <c r="V106">
        <v>-99.135499999999993</v>
      </c>
      <c r="W106">
        <v>-87.038300000000007</v>
      </c>
      <c r="X106">
        <v>-44.311100000000003</v>
      </c>
    </row>
    <row r="107" spans="1:24" x14ac:dyDescent="0.35">
      <c r="A107" s="1" t="s">
        <v>113</v>
      </c>
      <c r="B107">
        <v>-118.8</v>
      </c>
      <c r="C107" t="s">
        <v>113</v>
      </c>
      <c r="D107">
        <v>-188.03200000000001</v>
      </c>
      <c r="E107">
        <v>-148.84700000000001</v>
      </c>
      <c r="F107">
        <v>-166.3937</v>
      </c>
      <c r="G107">
        <v>-180.69479999999999</v>
      </c>
      <c r="H107">
        <v>-121.3445</v>
      </c>
      <c r="I107">
        <v>-186.45429999999999</v>
      </c>
      <c r="J107">
        <v>-186.45429999999999</v>
      </c>
      <c r="K107">
        <v>-127.4783</v>
      </c>
      <c r="L107">
        <v>-43.466900000000003</v>
      </c>
      <c r="N107" s="1" t="s">
        <v>128</v>
      </c>
      <c r="O107">
        <v>-74.900000000000006</v>
      </c>
      <c r="P107">
        <v>-74.900000000000006</v>
      </c>
      <c r="Q107">
        <v>-108.2599</v>
      </c>
      <c r="R107">
        <v>-87.612300000000005</v>
      </c>
      <c r="S107">
        <v>-98.216200000000001</v>
      </c>
      <c r="T107">
        <v>-107.20569999999999</v>
      </c>
      <c r="U107">
        <v>-71.266199999999998</v>
      </c>
      <c r="V107">
        <v>-105.81189999999999</v>
      </c>
      <c r="W107">
        <v>-87.075900000000004</v>
      </c>
      <c r="X107">
        <v>-44.464799999999997</v>
      </c>
    </row>
    <row r="108" spans="1:24" x14ac:dyDescent="0.35">
      <c r="A108" s="1" t="s">
        <v>114</v>
      </c>
      <c r="B108">
        <v>-137.9</v>
      </c>
      <c r="C108" t="s">
        <v>114</v>
      </c>
      <c r="D108">
        <v>-188.60319999999999</v>
      </c>
      <c r="E108">
        <v>-149.52619999999999</v>
      </c>
      <c r="F108">
        <v>-167.4913</v>
      </c>
      <c r="G108">
        <v>-183.83340000000001</v>
      </c>
      <c r="H108">
        <v>-121.6583</v>
      </c>
      <c r="I108">
        <v>-187.62569999999999</v>
      </c>
      <c r="J108">
        <v>-187.62569999999999</v>
      </c>
      <c r="K108">
        <v>-130.64930000000001</v>
      </c>
      <c r="L108">
        <v>-48.327599999999997</v>
      </c>
      <c r="N108" s="1" t="s">
        <v>129</v>
      </c>
      <c r="O108">
        <v>-72.900000000000006</v>
      </c>
      <c r="P108">
        <v>-72.900000000000006</v>
      </c>
      <c r="Q108">
        <v>-110.6249</v>
      </c>
      <c r="R108">
        <v>-89.441199999999995</v>
      </c>
      <c r="S108">
        <v>-100.021</v>
      </c>
      <c r="T108">
        <v>-106.2452</v>
      </c>
      <c r="U108">
        <v>-72.513800000000003</v>
      </c>
      <c r="V108">
        <v>-100.1105</v>
      </c>
      <c r="W108">
        <v>-90.4846</v>
      </c>
      <c r="X108">
        <v>-47.421399999999998</v>
      </c>
    </row>
    <row r="109" spans="1:24" x14ac:dyDescent="0.35">
      <c r="A109" s="1" t="s">
        <v>115</v>
      </c>
      <c r="B109">
        <v>-137.80000000000001</v>
      </c>
      <c r="C109" t="s">
        <v>115</v>
      </c>
      <c r="D109">
        <v>-189.84389999999999</v>
      </c>
      <c r="E109">
        <v>-150.5309</v>
      </c>
      <c r="F109">
        <v>-168.30879999999999</v>
      </c>
      <c r="G109">
        <v>-184.47550000000001</v>
      </c>
      <c r="H109">
        <v>-122.6159</v>
      </c>
      <c r="I109">
        <v>-183.8415</v>
      </c>
      <c r="J109">
        <v>-183.8415</v>
      </c>
      <c r="K109">
        <v>-131.00450000000001</v>
      </c>
      <c r="L109">
        <v>-47.749299999999998</v>
      </c>
      <c r="N109" s="1" t="s">
        <v>130</v>
      </c>
      <c r="O109">
        <v>-74.900000000000006</v>
      </c>
      <c r="P109">
        <v>-74.900000000000006</v>
      </c>
      <c r="Q109">
        <v>-110.42659999999999</v>
      </c>
      <c r="R109">
        <v>-89.226500000000001</v>
      </c>
      <c r="S109">
        <v>-99.877600000000001</v>
      </c>
      <c r="T109">
        <v>-106.85120000000001</v>
      </c>
      <c r="U109">
        <v>-72.361500000000007</v>
      </c>
      <c r="V109">
        <v>-99.213399999999993</v>
      </c>
      <c r="W109">
        <v>-89.527900000000002</v>
      </c>
      <c r="X109">
        <v>-46.165300000000002</v>
      </c>
    </row>
    <row r="110" spans="1:24" x14ac:dyDescent="0.35">
      <c r="A110" s="1" t="s">
        <v>116</v>
      </c>
      <c r="B110">
        <v>-125.3</v>
      </c>
      <c r="C110" t="s">
        <v>116</v>
      </c>
      <c r="D110">
        <v>-188.8202</v>
      </c>
      <c r="E110">
        <v>-149.572</v>
      </c>
      <c r="F110">
        <v>-167.0009</v>
      </c>
      <c r="G110">
        <v>-182.0573</v>
      </c>
      <c r="H110">
        <v>-121.79089999999999</v>
      </c>
      <c r="I110">
        <v>-183.38589999999999</v>
      </c>
      <c r="J110">
        <v>-183.38589999999999</v>
      </c>
      <c r="K110">
        <v>-130.12180000000001</v>
      </c>
      <c r="L110">
        <v>-47.153500000000001</v>
      </c>
      <c r="N110" s="1" t="s">
        <v>131</v>
      </c>
      <c r="O110">
        <v>-67.400000000000006</v>
      </c>
      <c r="P110">
        <v>-67.400000000000006</v>
      </c>
      <c r="Q110">
        <v>-110.437</v>
      </c>
      <c r="R110">
        <v>-89.215100000000007</v>
      </c>
      <c r="S110">
        <v>-99.649600000000007</v>
      </c>
      <c r="T110">
        <v>-107.49509999999999</v>
      </c>
      <c r="U110">
        <v>-72.669399999999996</v>
      </c>
      <c r="V110">
        <v>-101.9109</v>
      </c>
      <c r="W110">
        <v>-89.224699999999999</v>
      </c>
      <c r="X110">
        <v>-45.922499999999999</v>
      </c>
    </row>
    <row r="111" spans="1:24" x14ac:dyDescent="0.35">
      <c r="A111" s="1" t="s">
        <v>117</v>
      </c>
      <c r="B111">
        <v>-124.8</v>
      </c>
      <c r="C111" t="s">
        <v>117</v>
      </c>
      <c r="D111">
        <v>-189.15289999999999</v>
      </c>
      <c r="E111">
        <v>-149.91630000000001</v>
      </c>
      <c r="F111">
        <v>-167.6036</v>
      </c>
      <c r="G111">
        <v>-182.82400000000001</v>
      </c>
      <c r="H111">
        <v>-122.0005</v>
      </c>
      <c r="I111">
        <v>-183.26509999999999</v>
      </c>
      <c r="J111">
        <v>-183.26509999999999</v>
      </c>
      <c r="K111">
        <v>-131.0489</v>
      </c>
      <c r="L111">
        <v>-48.379300000000001</v>
      </c>
      <c r="S111"/>
    </row>
    <row r="112" spans="1:24" x14ac:dyDescent="0.35">
      <c r="A112" s="1" t="s">
        <v>118</v>
      </c>
      <c r="B112">
        <v>-126.5</v>
      </c>
      <c r="C112" t="s">
        <v>118</v>
      </c>
      <c r="D112">
        <v>-186.1377</v>
      </c>
      <c r="E112">
        <v>-147.0684</v>
      </c>
      <c r="F112">
        <v>-164.03469999999999</v>
      </c>
      <c r="G112">
        <v>-178.98089999999999</v>
      </c>
      <c r="H112">
        <v>-120.1623</v>
      </c>
      <c r="I112">
        <v>-177.40600000000001</v>
      </c>
      <c r="J112">
        <v>-177.40600000000001</v>
      </c>
      <c r="K112">
        <v>-126.75409999999999</v>
      </c>
      <c r="L112">
        <v>-43.8645</v>
      </c>
      <c r="S112"/>
    </row>
    <row r="113" spans="1:19" x14ac:dyDescent="0.35">
      <c r="A113" s="1" t="s">
        <v>119</v>
      </c>
      <c r="B113">
        <v>-126.6</v>
      </c>
      <c r="C113" t="s">
        <v>119</v>
      </c>
      <c r="D113">
        <v>-188.26759999999999</v>
      </c>
      <c r="E113">
        <v>-148.8989</v>
      </c>
      <c r="F113">
        <v>-166.45490000000001</v>
      </c>
      <c r="G113">
        <v>-183.78919999999999</v>
      </c>
      <c r="H113">
        <v>-121.3211</v>
      </c>
      <c r="I113">
        <v>-185.6901</v>
      </c>
      <c r="J113">
        <v>-185.6901</v>
      </c>
      <c r="K113">
        <v>-129.8861</v>
      </c>
      <c r="L113">
        <v>-46.711300000000001</v>
      </c>
      <c r="S113"/>
    </row>
    <row r="114" spans="1:19" x14ac:dyDescent="0.35">
      <c r="C114" t="s">
        <v>120</v>
      </c>
      <c r="D114">
        <v>-101.5241</v>
      </c>
      <c r="E114">
        <v>-80.589399999999998</v>
      </c>
      <c r="F114">
        <v>-89.693200000000004</v>
      </c>
      <c r="G114">
        <v>-97.262600000000006</v>
      </c>
      <c r="H114">
        <v>-65.8506</v>
      </c>
      <c r="I114">
        <v>-89.984700000000004</v>
      </c>
      <c r="J114">
        <v>-89.984700000000004</v>
      </c>
      <c r="K114">
        <v>-78.727000000000004</v>
      </c>
      <c r="L114">
        <v>-32.761400000000002</v>
      </c>
      <c r="S114"/>
    </row>
    <row r="115" spans="1:19" x14ac:dyDescent="0.35">
      <c r="C115" t="s">
        <v>121</v>
      </c>
      <c r="D115">
        <v>-101.9956</v>
      </c>
      <c r="E115">
        <v>-81.006500000000003</v>
      </c>
      <c r="F115">
        <v>-90.365700000000004</v>
      </c>
      <c r="G115">
        <v>-96.487799999999993</v>
      </c>
      <c r="H115">
        <v>-65.888400000000004</v>
      </c>
      <c r="I115">
        <v>-91.071799999999996</v>
      </c>
      <c r="J115">
        <v>-91.071799999999996</v>
      </c>
      <c r="K115">
        <v>-79.795000000000002</v>
      </c>
      <c r="L115">
        <v>-34.383800000000001</v>
      </c>
      <c r="S115"/>
    </row>
    <row r="116" spans="1:19" x14ac:dyDescent="0.35">
      <c r="C116" t="s">
        <v>122</v>
      </c>
      <c r="D116">
        <v>-101.4442</v>
      </c>
      <c r="E116">
        <v>-80.523200000000003</v>
      </c>
      <c r="F116">
        <v>-89.838800000000006</v>
      </c>
      <c r="G116">
        <v>-96.186700000000002</v>
      </c>
      <c r="H116">
        <v>-65.88</v>
      </c>
      <c r="I116">
        <v>-95.379099999999994</v>
      </c>
      <c r="J116">
        <v>-95.379099999999994</v>
      </c>
      <c r="K116">
        <v>-78.474100000000007</v>
      </c>
      <c r="L116">
        <v>-32.746699999999997</v>
      </c>
      <c r="S116"/>
    </row>
    <row r="117" spans="1:19" x14ac:dyDescent="0.35">
      <c r="A117" s="1" t="s">
        <v>123</v>
      </c>
      <c r="B117">
        <v>-75.900000000000006</v>
      </c>
      <c r="C117" t="s">
        <v>123</v>
      </c>
      <c r="D117">
        <v>-110.42400000000001</v>
      </c>
      <c r="E117">
        <v>-89.738699999999994</v>
      </c>
      <c r="F117">
        <v>-100.6443</v>
      </c>
      <c r="G117">
        <v>-107.6048</v>
      </c>
      <c r="H117">
        <v>-72.393299999999996</v>
      </c>
      <c r="I117">
        <v>-98.7881</v>
      </c>
      <c r="J117">
        <v>-98.7881</v>
      </c>
      <c r="K117">
        <v>-88.562399999999997</v>
      </c>
      <c r="L117">
        <v>-45.3123</v>
      </c>
      <c r="S117"/>
    </row>
    <row r="118" spans="1:19" x14ac:dyDescent="0.35">
      <c r="A118" s="1" t="s">
        <v>124</v>
      </c>
      <c r="B118">
        <v>-73.400000000000006</v>
      </c>
      <c r="C118" t="s">
        <v>124</v>
      </c>
      <c r="D118">
        <v>-108.2343</v>
      </c>
      <c r="E118">
        <v>-88.2971</v>
      </c>
      <c r="F118">
        <v>-98.630200000000002</v>
      </c>
      <c r="G118">
        <v>-104.81310000000001</v>
      </c>
      <c r="H118">
        <v>-72.1511</v>
      </c>
      <c r="I118">
        <v>-94.664000000000001</v>
      </c>
      <c r="J118">
        <v>-94.664000000000001</v>
      </c>
      <c r="K118">
        <v>-86.752899999999997</v>
      </c>
      <c r="L118">
        <v>-43.794499999999999</v>
      </c>
      <c r="S118"/>
    </row>
    <row r="119" spans="1:19" x14ac:dyDescent="0.35">
      <c r="A119" s="1" t="s">
        <v>125</v>
      </c>
      <c r="B119">
        <v>-73.900000000000006</v>
      </c>
      <c r="C119" t="s">
        <v>125</v>
      </c>
      <c r="D119">
        <v>-108.65049999999999</v>
      </c>
      <c r="E119">
        <v>-88.210300000000004</v>
      </c>
      <c r="F119">
        <v>-98.914400000000001</v>
      </c>
      <c r="G119">
        <v>-105.71469999999999</v>
      </c>
      <c r="H119">
        <v>-71.085899999999995</v>
      </c>
      <c r="I119">
        <v>-96.990399999999994</v>
      </c>
      <c r="J119">
        <v>-96.990399999999994</v>
      </c>
      <c r="K119">
        <v>-87.457599999999999</v>
      </c>
      <c r="L119">
        <v>-45.048400000000001</v>
      </c>
      <c r="S119"/>
    </row>
    <row r="120" spans="1:19" x14ac:dyDescent="0.35">
      <c r="A120" s="1" t="s">
        <v>126</v>
      </c>
      <c r="B120">
        <v>-73.400000000000006</v>
      </c>
      <c r="C120" t="s">
        <v>126</v>
      </c>
      <c r="D120">
        <v>-102.5042</v>
      </c>
      <c r="E120">
        <v>-82.31</v>
      </c>
      <c r="F120">
        <v>-91.623199999999997</v>
      </c>
      <c r="G120">
        <v>-98.794300000000007</v>
      </c>
      <c r="H120">
        <v>-66.989900000000006</v>
      </c>
      <c r="I120">
        <v>-97.0184</v>
      </c>
      <c r="J120">
        <v>-97.0184</v>
      </c>
      <c r="K120">
        <v>-79.835800000000006</v>
      </c>
      <c r="L120">
        <v>-35.070900000000002</v>
      </c>
      <c r="S120"/>
    </row>
    <row r="121" spans="1:19" x14ac:dyDescent="0.35">
      <c r="A121" s="1" t="s">
        <v>127</v>
      </c>
      <c r="B121">
        <v>-70.8</v>
      </c>
      <c r="C121" t="s">
        <v>127</v>
      </c>
      <c r="D121">
        <v>-105.41459999999999</v>
      </c>
      <c r="E121">
        <v>-85.345200000000006</v>
      </c>
      <c r="F121">
        <v>-94.985900000000001</v>
      </c>
      <c r="G121">
        <v>-102.9786</v>
      </c>
      <c r="H121">
        <v>-69.935599999999994</v>
      </c>
      <c r="I121">
        <v>-95.696399999999997</v>
      </c>
      <c r="J121">
        <v>-95.696399999999997</v>
      </c>
      <c r="K121">
        <v>-82.582700000000003</v>
      </c>
      <c r="L121">
        <v>-37.570999999999998</v>
      </c>
      <c r="S121"/>
    </row>
    <row r="122" spans="1:19" x14ac:dyDescent="0.35">
      <c r="A122" s="1" t="s">
        <v>128</v>
      </c>
      <c r="B122">
        <v>-74.900000000000006</v>
      </c>
      <c r="C122" t="s">
        <v>128</v>
      </c>
      <c r="D122">
        <v>-105.67059999999999</v>
      </c>
      <c r="E122">
        <v>-84.996799999999993</v>
      </c>
      <c r="F122">
        <v>-94.765699999999995</v>
      </c>
      <c r="G122">
        <v>-101.5829</v>
      </c>
      <c r="H122">
        <v>-69.183000000000007</v>
      </c>
      <c r="I122">
        <v>-102.24769999999999</v>
      </c>
      <c r="J122">
        <v>-102.24769999999999</v>
      </c>
      <c r="K122">
        <v>-82.891000000000005</v>
      </c>
      <c r="L122">
        <v>-37.2012</v>
      </c>
      <c r="S122"/>
    </row>
    <row r="123" spans="1:19" x14ac:dyDescent="0.35">
      <c r="A123" s="1" t="s">
        <v>129</v>
      </c>
      <c r="B123">
        <v>-72.900000000000006</v>
      </c>
      <c r="C123" t="s">
        <v>129</v>
      </c>
      <c r="D123">
        <v>-102.9893</v>
      </c>
      <c r="E123">
        <v>-82.642700000000005</v>
      </c>
      <c r="F123">
        <v>-91.871300000000005</v>
      </c>
      <c r="G123">
        <v>-98.1173</v>
      </c>
      <c r="H123">
        <v>-67.605000000000004</v>
      </c>
      <c r="I123">
        <v>-93.415899999999993</v>
      </c>
      <c r="J123">
        <v>-93.415899999999993</v>
      </c>
      <c r="K123">
        <v>-81.261200000000002</v>
      </c>
      <c r="L123">
        <v>-36.535499999999999</v>
      </c>
      <c r="S123"/>
    </row>
    <row r="124" spans="1:19" x14ac:dyDescent="0.35">
      <c r="A124" s="1" t="s">
        <v>130</v>
      </c>
      <c r="B124">
        <v>-74.900000000000006</v>
      </c>
      <c r="C124" t="s">
        <v>130</v>
      </c>
      <c r="D124">
        <v>-105.43259999999999</v>
      </c>
      <c r="E124">
        <v>-84.684299999999993</v>
      </c>
      <c r="F124">
        <v>-94.554100000000005</v>
      </c>
      <c r="G124">
        <v>-100.9962</v>
      </c>
      <c r="H124">
        <v>-69.128399999999999</v>
      </c>
      <c r="I124">
        <v>-93.556100000000001</v>
      </c>
      <c r="J124">
        <v>-93.556100000000001</v>
      </c>
      <c r="K124">
        <v>-83.647499999999994</v>
      </c>
      <c r="L124">
        <v>-39.3645</v>
      </c>
      <c r="S124"/>
    </row>
    <row r="125" spans="1:19" x14ac:dyDescent="0.35">
      <c r="A125" s="1" t="s">
        <v>131</v>
      </c>
      <c r="B125">
        <v>-67.400000000000006</v>
      </c>
      <c r="C125" t="s">
        <v>131</v>
      </c>
      <c r="D125">
        <v>-104.3938</v>
      </c>
      <c r="E125">
        <v>-83.797899999999998</v>
      </c>
      <c r="F125">
        <v>-92.996300000000005</v>
      </c>
      <c r="G125">
        <v>-100.2668</v>
      </c>
      <c r="H125">
        <v>-69.296000000000006</v>
      </c>
      <c r="I125">
        <v>-94.562600000000003</v>
      </c>
      <c r="J125">
        <v>-94.562600000000003</v>
      </c>
      <c r="K125">
        <v>-81.484200000000001</v>
      </c>
      <c r="L125">
        <v>-35.764499999999998</v>
      </c>
      <c r="S12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41"/>
  <sheetViews>
    <sheetView topLeftCell="T1" zoomScale="70" zoomScaleNormal="70" workbookViewId="0">
      <selection activeCell="S17" sqref="S17"/>
    </sheetView>
  </sheetViews>
  <sheetFormatPr defaultRowHeight="14.5" x14ac:dyDescent="0.35"/>
  <cols>
    <col min="1" max="1" width="15.26953125" bestFit="1" customWidth="1"/>
    <col min="2" max="2" width="13.26953125" customWidth="1"/>
    <col min="3" max="3" width="12.1796875" customWidth="1"/>
    <col min="4" max="4" width="15" customWidth="1"/>
    <col min="5" max="5" width="15.1796875" customWidth="1"/>
    <col min="6" max="7" width="13" customWidth="1"/>
    <col min="16" max="16" width="9.1796875" bestFit="1" customWidth="1"/>
    <col min="19" max="19" width="15.26953125" bestFit="1" customWidth="1"/>
    <col min="20" max="20" width="13.26953125" customWidth="1"/>
    <col min="21" max="21" width="12.1796875" customWidth="1"/>
    <col min="22" max="22" width="15" customWidth="1"/>
    <col min="23" max="23" width="15.1796875" customWidth="1"/>
    <col min="24" max="25" width="13" customWidth="1"/>
    <col min="37" max="37" width="15.26953125" bestFit="1" customWidth="1"/>
    <col min="38" max="39" width="12.54296875" bestFit="1" customWidth="1"/>
    <col min="40" max="40" width="14" bestFit="1" customWidth="1"/>
    <col min="41" max="41" width="15.453125" bestFit="1" customWidth="1"/>
    <col min="42" max="42" width="12.54296875" bestFit="1" customWidth="1"/>
    <col min="52" max="52" width="14.1796875" bestFit="1" customWidth="1"/>
  </cols>
  <sheetData>
    <row r="1" spans="1:53" x14ac:dyDescent="0.35">
      <c r="B1" t="s">
        <v>165</v>
      </c>
      <c r="C1" s="4"/>
      <c r="D1" s="4"/>
      <c r="E1" s="4"/>
      <c r="F1" s="4"/>
      <c r="T1" t="s">
        <v>169</v>
      </c>
    </row>
    <row r="2" spans="1:53" x14ac:dyDescent="0.35">
      <c r="C2" s="3"/>
      <c r="D2" s="3"/>
      <c r="E2" s="3"/>
      <c r="F2" s="3"/>
    </row>
    <row r="3" spans="1:53" ht="15.5" x14ac:dyDescent="0.35">
      <c r="A3" s="6" t="s">
        <v>166</v>
      </c>
      <c r="B3" s="15" t="s">
        <v>152</v>
      </c>
      <c r="C3" s="15" t="s">
        <v>155</v>
      </c>
      <c r="D3" s="15" t="s">
        <v>153</v>
      </c>
      <c r="E3" s="15" t="s">
        <v>156</v>
      </c>
      <c r="F3" s="15" t="s">
        <v>154</v>
      </c>
      <c r="G3" s="15" t="s">
        <v>164</v>
      </c>
      <c r="H3" s="23" t="s">
        <v>173</v>
      </c>
      <c r="S3" s="6" t="s">
        <v>166</v>
      </c>
      <c r="T3" s="15" t="s">
        <v>152</v>
      </c>
      <c r="U3" s="15" t="s">
        <v>155</v>
      </c>
      <c r="V3" s="15" t="s">
        <v>153</v>
      </c>
      <c r="W3" s="15" t="s">
        <v>156</v>
      </c>
      <c r="X3" s="15" t="s">
        <v>154</v>
      </c>
      <c r="Y3" s="15" t="s">
        <v>164</v>
      </c>
      <c r="Z3" s="23" t="s">
        <v>173</v>
      </c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6" t="s">
        <v>170</v>
      </c>
      <c r="AL3" s="15" t="s">
        <v>152</v>
      </c>
      <c r="AM3" s="15" t="s">
        <v>155</v>
      </c>
      <c r="AN3" s="15" t="s">
        <v>153</v>
      </c>
      <c r="AO3" s="15" t="s">
        <v>156</v>
      </c>
      <c r="AP3" s="15" t="s">
        <v>154</v>
      </c>
      <c r="AQ3" s="15" t="s">
        <v>164</v>
      </c>
      <c r="AR3" s="23" t="s">
        <v>173</v>
      </c>
      <c r="AT3" s="6" t="s">
        <v>170</v>
      </c>
      <c r="AU3" s="15" t="s">
        <v>152</v>
      </c>
      <c r="AV3" s="15" t="s">
        <v>155</v>
      </c>
      <c r="AW3" s="15" t="s">
        <v>153</v>
      </c>
      <c r="AX3" s="15" t="s">
        <v>156</v>
      </c>
      <c r="AY3" s="15" t="s">
        <v>154</v>
      </c>
      <c r="AZ3" s="15" t="s">
        <v>164</v>
      </c>
      <c r="BA3" s="23" t="s">
        <v>173</v>
      </c>
    </row>
    <row r="4" spans="1:53" ht="18.5" x14ac:dyDescent="0.35">
      <c r="A4" s="6" t="s">
        <v>159</v>
      </c>
      <c r="B4" s="9">
        <v>0.89537299999999997</v>
      </c>
      <c r="C4" s="9">
        <v>0.92208999999999997</v>
      </c>
      <c r="D4" s="9">
        <v>0.79800400000000005</v>
      </c>
      <c r="E4" s="27">
        <v>0.96729200000000004</v>
      </c>
      <c r="F4" s="27">
        <v>0.94179999999999997</v>
      </c>
      <c r="G4" s="12">
        <f t="shared" ref="G4:G11" si="0">AVERAGE(B4:F4)</f>
        <v>0.90491180000000004</v>
      </c>
      <c r="H4" s="22">
        <f>_xlfn.STDEV.P(B4:F4)</f>
        <v>5.8424970026179718E-2</v>
      </c>
      <c r="S4" s="6" t="s">
        <v>159</v>
      </c>
      <c r="T4" s="9">
        <v>0.87938700000000003</v>
      </c>
      <c r="U4" s="9">
        <v>0.875919</v>
      </c>
      <c r="V4" s="9">
        <v>0.84559399999999996</v>
      </c>
      <c r="W4" s="17">
        <v>0.89761500000000005</v>
      </c>
      <c r="X4" s="17">
        <v>0.92067399999999999</v>
      </c>
      <c r="Y4" s="12">
        <f t="shared" ref="Y4:Y11" si="1">AVERAGE(T4:X4)</f>
        <v>0.88383780000000001</v>
      </c>
      <c r="Z4" s="22">
        <f>_xlfn.STDEV.P(T4:X4)</f>
        <v>2.4866934361919259E-2</v>
      </c>
      <c r="AA4" s="22"/>
      <c r="AB4" s="22"/>
      <c r="AC4" s="22"/>
      <c r="AD4" s="22"/>
      <c r="AE4" s="22"/>
      <c r="AF4" s="22"/>
      <c r="AG4" s="22"/>
      <c r="AH4" s="22"/>
      <c r="AI4" s="2"/>
      <c r="AJ4" s="2"/>
      <c r="AK4" s="6" t="s">
        <v>159</v>
      </c>
      <c r="AL4" s="9">
        <v>27.717300000000002</v>
      </c>
      <c r="AM4" s="9">
        <v>26.609300000000001</v>
      </c>
      <c r="AN4" s="9">
        <v>22.204999999999998</v>
      </c>
      <c r="AO4" s="17">
        <v>28.145499999999998</v>
      </c>
      <c r="AP4" s="17">
        <v>30.869700000000002</v>
      </c>
      <c r="AQ4" s="12">
        <f>AVERAGE(AL4:AP4)</f>
        <v>27.109359999999999</v>
      </c>
      <c r="AR4" s="22">
        <f>_xlfn.STDEV.P(AL4:AP4)</f>
        <v>2.824398735023101</v>
      </c>
      <c r="AT4" s="6" t="s">
        <v>159</v>
      </c>
      <c r="AU4" s="9">
        <f>AL4*4.184</f>
        <v>115.96918320000002</v>
      </c>
      <c r="AV4" s="9">
        <f>AM4*4.184</f>
        <v>111.33331120000001</v>
      </c>
      <c r="AW4" s="9">
        <f>AN4*4.184</f>
        <v>92.905720000000002</v>
      </c>
      <c r="AX4" s="9">
        <f>AO4*4.184</f>
        <v>117.760772</v>
      </c>
      <c r="AY4" s="9">
        <f>AP4*4.184</f>
        <v>129.15882480000002</v>
      </c>
      <c r="AZ4" s="24" t="str">
        <f>TEXT(AVERAGE(AU4:AY4), "0.00") &amp; " ± " &amp; TEXT(_xlfn.STDEV.P(AU4:AY4), "0.00")</f>
        <v>113.43 ± 11.82</v>
      </c>
      <c r="BA4" s="22">
        <f>_xlfn.STDEV.P(AU4:AY4)</f>
        <v>11.817284307336474</v>
      </c>
    </row>
    <row r="5" spans="1:53" ht="18.5" x14ac:dyDescent="0.35">
      <c r="A5" s="7" t="s">
        <v>160</v>
      </c>
      <c r="B5" s="9">
        <v>0.70913999999999999</v>
      </c>
      <c r="C5" s="9">
        <v>0.73026599999999997</v>
      </c>
      <c r="D5" s="9">
        <v>0.61936599999999997</v>
      </c>
      <c r="E5" s="9">
        <v>0.77532199999999996</v>
      </c>
      <c r="F5" s="9">
        <v>0.75284300000000004</v>
      </c>
      <c r="G5" s="12">
        <f t="shared" si="0"/>
        <v>0.71738740000000001</v>
      </c>
      <c r="H5" s="22">
        <f t="shared" ref="H5:H11" si="2">_xlfn.STDEV.P(B5:F5)</f>
        <v>5.3769117997601562E-2</v>
      </c>
      <c r="S5" s="7" t="s">
        <v>160</v>
      </c>
      <c r="T5" s="9">
        <v>0.69602399999999998</v>
      </c>
      <c r="U5" s="9">
        <v>0.693492</v>
      </c>
      <c r="V5" s="9">
        <v>0.66654000000000002</v>
      </c>
      <c r="W5" s="17">
        <v>0.71534699999999996</v>
      </c>
      <c r="X5" s="17">
        <v>0.73588399999999998</v>
      </c>
      <c r="Y5" s="12">
        <f t="shared" si="1"/>
        <v>0.70145740000000001</v>
      </c>
      <c r="Z5" s="22">
        <f t="shared" ref="Z5:Z11" si="3">_xlfn.STDEV.P(T5:X5)</f>
        <v>2.3196146366153136E-2</v>
      </c>
      <c r="AA5" s="22"/>
      <c r="AB5" s="22"/>
      <c r="AC5" s="22"/>
      <c r="AD5" s="22"/>
      <c r="AE5" s="22"/>
      <c r="AF5" s="22"/>
      <c r="AG5" s="22"/>
      <c r="AH5" s="22"/>
      <c r="AI5" s="2"/>
      <c r="AJ5" s="2"/>
      <c r="AK5" s="7" t="s">
        <v>160</v>
      </c>
      <c r="AL5" s="9">
        <v>8.4686000000000003</v>
      </c>
      <c r="AM5" s="9">
        <v>8.2211999999999996</v>
      </c>
      <c r="AN5" s="9">
        <v>5.0690999999999997</v>
      </c>
      <c r="AO5" s="17">
        <v>9.0457999999999998</v>
      </c>
      <c r="AP5" s="17">
        <v>11.0328</v>
      </c>
      <c r="AQ5" s="12">
        <f t="shared" ref="AQ5:AQ12" si="4">AVERAGE(AL5:AP5)</f>
        <v>8.3674999999999997</v>
      </c>
      <c r="AR5" s="22">
        <f t="shared" ref="AR5:AR11" si="5">_xlfn.STDEV.P(AL5:AP5)</f>
        <v>1.9222373651555098</v>
      </c>
      <c r="AT5" s="7" t="s">
        <v>160</v>
      </c>
      <c r="AU5" s="9">
        <f t="shared" ref="AU5:AU11" si="6">AL5*4.184</f>
        <v>35.4326224</v>
      </c>
      <c r="AV5" s="9">
        <f t="shared" ref="AV5:AV11" si="7">AM5*4.184</f>
        <v>34.397500800000003</v>
      </c>
      <c r="AW5" s="9">
        <f t="shared" ref="AW5:AW11" si="8">AN5*4.184</f>
        <v>21.209114400000001</v>
      </c>
      <c r="AX5" s="9">
        <f t="shared" ref="AX5:AX11" si="9">AO5*4.184</f>
        <v>37.847627199999998</v>
      </c>
      <c r="AY5" s="9">
        <f t="shared" ref="AY5:AY11" si="10">AP5*4.184</f>
        <v>46.1612352</v>
      </c>
      <c r="AZ5" s="24" t="str">
        <f t="shared" ref="AZ5:AZ11" si="11">TEXT(AVERAGE(AU5:AY5), "0.00") &amp; " ± " &amp; TEXT(_xlfn.STDEV.P(AU5:AY5), "0.00")</f>
        <v>35.01 ± 8.04</v>
      </c>
      <c r="BA5" s="22">
        <f t="shared" ref="BA5:BA11" si="12">_xlfn.STDEV.P(AU5:AY5)</f>
        <v>8.0426411358106549</v>
      </c>
    </row>
    <row r="6" spans="1:53" ht="18.5" x14ac:dyDescent="0.35">
      <c r="A6" s="7" t="s">
        <v>161</v>
      </c>
      <c r="B6" s="9">
        <v>0.80079999999999996</v>
      </c>
      <c r="C6" s="9">
        <v>0.81620099999999995</v>
      </c>
      <c r="D6" s="9">
        <v>0.70411599999999996</v>
      </c>
      <c r="E6" s="9">
        <v>0.870363</v>
      </c>
      <c r="F6" s="9">
        <v>0.85260899999999995</v>
      </c>
      <c r="G6" s="12">
        <f t="shared" si="0"/>
        <v>0.80881780000000014</v>
      </c>
      <c r="H6" s="22">
        <f t="shared" si="2"/>
        <v>5.7942634601474592E-2</v>
      </c>
      <c r="S6" s="7" t="s">
        <v>161</v>
      </c>
      <c r="T6" s="9">
        <v>0.77830500000000002</v>
      </c>
      <c r="U6" s="9">
        <v>0.77211099999999999</v>
      </c>
      <c r="V6" s="9">
        <v>0.74642399999999998</v>
      </c>
      <c r="W6" s="9">
        <v>0.79919899999999999</v>
      </c>
      <c r="X6" s="9">
        <v>0.82433800000000002</v>
      </c>
      <c r="Y6" s="12">
        <f t="shared" si="1"/>
        <v>0.78407540000000009</v>
      </c>
      <c r="Z6" s="22">
        <f t="shared" si="3"/>
        <v>2.6244513869378504E-2</v>
      </c>
      <c r="AA6" s="22"/>
      <c r="AB6" s="22"/>
      <c r="AC6" s="22"/>
      <c r="AD6" s="22"/>
      <c r="AE6" s="22"/>
      <c r="AF6" s="22"/>
      <c r="AG6" s="22"/>
      <c r="AH6" s="22"/>
      <c r="AI6" s="2"/>
      <c r="AJ6" s="2"/>
      <c r="AK6" s="7" t="s">
        <v>161</v>
      </c>
      <c r="AL6" s="9">
        <v>17.8812</v>
      </c>
      <c r="AM6" s="9">
        <v>16.868200000000002</v>
      </c>
      <c r="AN6" s="9">
        <v>11.2989</v>
      </c>
      <c r="AO6" s="9">
        <v>18.472200000000001</v>
      </c>
      <c r="AP6" s="9">
        <v>20.7318</v>
      </c>
      <c r="AQ6" s="12">
        <f t="shared" si="4"/>
        <v>17.050459999999998</v>
      </c>
      <c r="AR6" s="22">
        <f t="shared" si="5"/>
        <v>3.1425276104435533</v>
      </c>
      <c r="AT6" s="7" t="s">
        <v>161</v>
      </c>
      <c r="AU6" s="9">
        <f t="shared" si="6"/>
        <v>74.814940800000002</v>
      </c>
      <c r="AV6" s="9">
        <f t="shared" si="7"/>
        <v>70.576548800000012</v>
      </c>
      <c r="AW6" s="9">
        <f t="shared" si="8"/>
        <v>47.2745976</v>
      </c>
      <c r="AX6" s="9">
        <f t="shared" si="9"/>
        <v>77.287684800000008</v>
      </c>
      <c r="AY6" s="9">
        <f t="shared" si="10"/>
        <v>86.741851199999999</v>
      </c>
      <c r="AZ6" s="24" t="str">
        <f t="shared" si="11"/>
        <v>71.34 ± 13.15</v>
      </c>
      <c r="BA6" s="22">
        <f t="shared" si="12"/>
        <v>13.148335522095813</v>
      </c>
    </row>
    <row r="7" spans="1:53" ht="15.5" x14ac:dyDescent="0.35">
      <c r="A7" s="8" t="s">
        <v>151</v>
      </c>
      <c r="B7" s="9">
        <v>0.91070200000000001</v>
      </c>
      <c r="C7" s="9">
        <v>0.92796500000000004</v>
      </c>
      <c r="D7" s="9">
        <v>0.81629799999999997</v>
      </c>
      <c r="E7" s="25">
        <v>0.97694999999999999</v>
      </c>
      <c r="F7" s="27">
        <v>0.96616599999999997</v>
      </c>
      <c r="G7" s="12">
        <f t="shared" si="0"/>
        <v>0.91961619999999988</v>
      </c>
      <c r="H7" s="22">
        <f t="shared" si="2"/>
        <v>5.7057627670277354E-2</v>
      </c>
      <c r="S7" s="8" t="s">
        <v>151</v>
      </c>
      <c r="T7" s="9">
        <v>0.86770800000000003</v>
      </c>
      <c r="U7" s="9">
        <v>0.86718200000000001</v>
      </c>
      <c r="V7" s="9">
        <v>0.81629099999999999</v>
      </c>
      <c r="W7" s="9">
        <v>0.88815500000000003</v>
      </c>
      <c r="X7" s="9">
        <v>0.912215</v>
      </c>
      <c r="Y7" s="12">
        <f t="shared" si="1"/>
        <v>0.87031019999999992</v>
      </c>
      <c r="Z7" s="22">
        <f t="shared" si="3"/>
        <v>3.1651477686831631E-2</v>
      </c>
      <c r="AA7" s="22"/>
      <c r="AB7" s="22"/>
      <c r="AC7" s="22"/>
      <c r="AD7" s="22"/>
      <c r="AE7" s="22"/>
      <c r="AF7" s="22"/>
      <c r="AG7" s="22"/>
      <c r="AH7" s="22"/>
      <c r="AI7" s="2"/>
      <c r="AJ7" s="2"/>
      <c r="AK7" s="8" t="s">
        <v>151</v>
      </c>
      <c r="AL7" s="9">
        <v>23.542400000000001</v>
      </c>
      <c r="AM7" s="9">
        <v>23.057400000000001</v>
      </c>
      <c r="AN7" s="9">
        <v>16.904</v>
      </c>
      <c r="AO7" s="9">
        <v>24.525500000000001</v>
      </c>
      <c r="AP7" s="9">
        <v>26.960899999999999</v>
      </c>
      <c r="AQ7" s="12">
        <f t="shared" si="4"/>
        <v>22.99804</v>
      </c>
      <c r="AR7" s="22">
        <f t="shared" si="5"/>
        <v>3.3309028317259699</v>
      </c>
      <c r="AT7" s="8" t="s">
        <v>151</v>
      </c>
      <c r="AU7" s="9">
        <f t="shared" si="6"/>
        <v>98.501401600000008</v>
      </c>
      <c r="AV7" s="9">
        <f t="shared" si="7"/>
        <v>96.472161600000007</v>
      </c>
      <c r="AW7" s="9">
        <f t="shared" si="8"/>
        <v>70.726336000000003</v>
      </c>
      <c r="AX7" s="9">
        <f t="shared" si="9"/>
        <v>102.61469200000001</v>
      </c>
      <c r="AY7" s="9">
        <f t="shared" si="10"/>
        <v>112.8044056</v>
      </c>
      <c r="AZ7" s="24" t="str">
        <f t="shared" si="11"/>
        <v>96.22 ± 13.94</v>
      </c>
      <c r="BA7" s="22">
        <f t="shared" si="12"/>
        <v>13.936497447941383</v>
      </c>
    </row>
    <row r="8" spans="1:53" ht="15.5" x14ac:dyDescent="0.35">
      <c r="A8" s="7" t="s">
        <v>162</v>
      </c>
      <c r="B8" s="9">
        <v>0.57488099999999998</v>
      </c>
      <c r="C8" s="9">
        <v>0.60256100000000001</v>
      </c>
      <c r="D8" s="9">
        <v>0.474773</v>
      </c>
      <c r="E8" s="9">
        <v>0.63808500000000001</v>
      </c>
      <c r="F8" s="9">
        <v>0.60222100000000001</v>
      </c>
      <c r="G8" s="12">
        <f t="shared" si="0"/>
        <v>0.57850420000000002</v>
      </c>
      <c r="H8" s="22">
        <f t="shared" si="2"/>
        <v>5.5613626727268925E-2</v>
      </c>
      <c r="S8" s="7" t="s">
        <v>162</v>
      </c>
      <c r="T8" s="9">
        <v>0.56415099999999996</v>
      </c>
      <c r="U8" s="9">
        <v>0.56396199999999996</v>
      </c>
      <c r="V8" s="9">
        <v>0.52227199999999996</v>
      </c>
      <c r="W8" s="9">
        <v>0.58105899999999999</v>
      </c>
      <c r="X8" s="9">
        <v>0.59379800000000005</v>
      </c>
      <c r="Y8" s="12">
        <f t="shared" si="1"/>
        <v>0.56504840000000001</v>
      </c>
      <c r="Z8" s="22">
        <f t="shared" si="3"/>
        <v>2.414408747996083E-2</v>
      </c>
      <c r="AA8" s="22"/>
      <c r="AB8" s="22"/>
      <c r="AC8" s="22"/>
      <c r="AD8" s="22"/>
      <c r="AE8" s="22"/>
      <c r="AF8" s="22"/>
      <c r="AG8" s="22"/>
      <c r="AH8" s="22"/>
      <c r="AI8" s="2"/>
      <c r="AJ8" s="2"/>
      <c r="AK8" s="7" t="s">
        <v>162</v>
      </c>
      <c r="AL8" s="9">
        <v>7.8322000000000003</v>
      </c>
      <c r="AM8" s="9">
        <v>8.6966999999999999</v>
      </c>
      <c r="AN8" s="9">
        <v>13.5946</v>
      </c>
      <c r="AO8" s="9">
        <v>7.8731999999999998</v>
      </c>
      <c r="AP8" s="9">
        <v>6.1844999999999999</v>
      </c>
      <c r="AQ8" s="12">
        <f t="shared" si="4"/>
        <v>8.8362400000000001</v>
      </c>
      <c r="AR8" s="22">
        <f t="shared" si="5"/>
        <v>2.5151035243902027</v>
      </c>
      <c r="AT8" s="7" t="s">
        <v>162</v>
      </c>
      <c r="AU8" s="9">
        <f t="shared" si="6"/>
        <v>32.769924800000005</v>
      </c>
      <c r="AV8" s="9">
        <f t="shared" si="7"/>
        <v>36.386992800000002</v>
      </c>
      <c r="AW8" s="9">
        <f t="shared" si="8"/>
        <v>56.8798064</v>
      </c>
      <c r="AX8" s="9">
        <f t="shared" si="9"/>
        <v>32.941468800000003</v>
      </c>
      <c r="AY8" s="9">
        <f t="shared" si="10"/>
        <v>25.875948000000001</v>
      </c>
      <c r="AZ8" s="24" t="str">
        <f t="shared" si="11"/>
        <v>36.97 ± 10.52</v>
      </c>
      <c r="BA8" s="22">
        <f t="shared" si="12"/>
        <v>10.523193146048587</v>
      </c>
    </row>
    <row r="9" spans="1:53" ht="46.5" x14ac:dyDescent="0.35">
      <c r="A9" s="7" t="s">
        <v>163</v>
      </c>
      <c r="B9" s="14">
        <v>0.90936099999999997</v>
      </c>
      <c r="C9" s="14">
        <v>0.92282500000000001</v>
      </c>
      <c r="D9" s="14">
        <v>0.85758000000000001</v>
      </c>
      <c r="E9" s="14">
        <v>0.95638699999999999</v>
      </c>
      <c r="F9" s="14">
        <v>0.95017399999999996</v>
      </c>
      <c r="G9" s="29">
        <f t="shared" si="0"/>
        <v>0.9192653999999999</v>
      </c>
      <c r="H9" s="22">
        <f t="shared" si="2"/>
        <v>3.5353107940321163E-2</v>
      </c>
      <c r="S9" s="7" t="s">
        <v>163</v>
      </c>
      <c r="T9" s="9">
        <v>0.89374699999999996</v>
      </c>
      <c r="U9" s="9">
        <v>0.89484200000000003</v>
      </c>
      <c r="V9" s="9">
        <v>0.85592199999999996</v>
      </c>
      <c r="W9" s="9">
        <v>0.90832500000000005</v>
      </c>
      <c r="X9" s="25">
        <v>0.92814099999999999</v>
      </c>
      <c r="Y9" s="13">
        <f t="shared" si="1"/>
        <v>0.89619540000000009</v>
      </c>
      <c r="Z9" s="22">
        <f t="shared" si="3"/>
        <v>2.3653421136064036E-2</v>
      </c>
      <c r="AA9" s="22"/>
      <c r="AB9" s="22"/>
      <c r="AC9" s="22"/>
      <c r="AD9" s="22"/>
      <c r="AE9" s="22"/>
      <c r="AF9" s="22"/>
      <c r="AG9" s="22"/>
      <c r="AH9" s="22"/>
      <c r="AI9" s="2"/>
      <c r="AJ9" s="2"/>
      <c r="AK9" s="7" t="s">
        <v>163</v>
      </c>
      <c r="AL9" s="9">
        <v>19.914100000000001</v>
      </c>
      <c r="AM9" s="9">
        <v>18.879000000000001</v>
      </c>
      <c r="AN9" s="9">
        <v>14.6473</v>
      </c>
      <c r="AO9" s="9">
        <v>20.459199999999999</v>
      </c>
      <c r="AP9" s="9">
        <v>23.3477</v>
      </c>
      <c r="AQ9" s="12">
        <f t="shared" si="4"/>
        <v>19.449460000000002</v>
      </c>
      <c r="AR9" s="22">
        <f t="shared" si="5"/>
        <v>2.8219817707419477</v>
      </c>
      <c r="AT9" s="7" t="s">
        <v>163</v>
      </c>
      <c r="AU9" s="9">
        <f t="shared" si="6"/>
        <v>83.320594400000004</v>
      </c>
      <c r="AV9" s="9">
        <f t="shared" si="7"/>
        <v>78.989736000000008</v>
      </c>
      <c r="AW9" s="9">
        <f t="shared" si="8"/>
        <v>61.284303200000004</v>
      </c>
      <c r="AX9" s="9">
        <f t="shared" si="9"/>
        <v>85.601292799999996</v>
      </c>
      <c r="AY9" s="9">
        <f t="shared" si="10"/>
        <v>97.686776800000004</v>
      </c>
      <c r="AZ9" s="24" t="str">
        <f t="shared" si="11"/>
        <v>81.38 ± 11.81</v>
      </c>
      <c r="BA9" s="22">
        <f t="shared" si="12"/>
        <v>11.807171728784317</v>
      </c>
    </row>
    <row r="10" spans="1:53" ht="15.5" x14ac:dyDescent="0.35">
      <c r="A10" s="6" t="s">
        <v>157</v>
      </c>
      <c r="B10" s="9">
        <v>0.64742500000000003</v>
      </c>
      <c r="C10" s="9">
        <v>0.66500000000000004</v>
      </c>
      <c r="D10" s="9">
        <v>0.50088999999999995</v>
      </c>
      <c r="E10" s="9">
        <v>0.70288099999999998</v>
      </c>
      <c r="F10" s="9">
        <v>0.69377200000000006</v>
      </c>
      <c r="G10" s="12">
        <f t="shared" si="0"/>
        <v>0.64199360000000005</v>
      </c>
      <c r="H10" s="22">
        <f t="shared" si="2"/>
        <v>7.3290243095789548E-2</v>
      </c>
      <c r="S10" s="6" t="s">
        <v>157</v>
      </c>
      <c r="T10" s="9">
        <v>0.62958400000000003</v>
      </c>
      <c r="U10" s="9">
        <v>0.60138800000000003</v>
      </c>
      <c r="V10" s="9">
        <v>0.57999199999999995</v>
      </c>
      <c r="W10" s="9">
        <v>0.61323399999999995</v>
      </c>
      <c r="X10" s="9">
        <v>0.64750200000000002</v>
      </c>
      <c r="Y10" s="12">
        <f t="shared" si="1"/>
        <v>0.61434</v>
      </c>
      <c r="Z10" s="22">
        <f t="shared" si="3"/>
        <v>2.3155389972963122E-2</v>
      </c>
      <c r="AA10" s="22"/>
      <c r="AB10" s="22"/>
      <c r="AC10" s="22"/>
      <c r="AD10" s="22"/>
      <c r="AE10" s="22"/>
      <c r="AF10" s="22"/>
      <c r="AG10" s="22"/>
      <c r="AH10" s="22"/>
      <c r="AI10" s="2"/>
      <c r="AJ10" s="2"/>
      <c r="AK10" s="6" t="s">
        <v>157</v>
      </c>
      <c r="AL10" s="9">
        <v>7.7408999999999999</v>
      </c>
      <c r="AM10" s="9">
        <v>7.5453999999999999</v>
      </c>
      <c r="AN10" s="9">
        <v>5.4313000000000002</v>
      </c>
      <c r="AO10" s="9">
        <v>8.4612999999999996</v>
      </c>
      <c r="AP10" s="9">
        <v>10.4206</v>
      </c>
      <c r="AQ10" s="12">
        <f t="shared" si="4"/>
        <v>7.9199000000000002</v>
      </c>
      <c r="AR10" s="22">
        <f t="shared" si="5"/>
        <v>1.6069869731892688</v>
      </c>
      <c r="AT10" s="6" t="s">
        <v>157</v>
      </c>
      <c r="AU10" s="9">
        <f t="shared" si="6"/>
        <v>32.387925600000003</v>
      </c>
      <c r="AV10" s="9">
        <f t="shared" si="7"/>
        <v>31.569953600000002</v>
      </c>
      <c r="AW10" s="9">
        <f t="shared" si="8"/>
        <v>22.724559200000002</v>
      </c>
      <c r="AX10" s="9">
        <f t="shared" si="9"/>
        <v>35.402079200000003</v>
      </c>
      <c r="AY10" s="9">
        <f t="shared" si="10"/>
        <v>43.599790400000003</v>
      </c>
      <c r="AZ10" s="24" t="str">
        <f t="shared" si="11"/>
        <v>33.14 ± 6.72</v>
      </c>
      <c r="BA10" s="22">
        <f t="shared" si="12"/>
        <v>6.7236334958238775</v>
      </c>
    </row>
    <row r="11" spans="1:53" ht="15.5" x14ac:dyDescent="0.35">
      <c r="A11" s="6" t="s">
        <v>158</v>
      </c>
      <c r="B11" s="9">
        <v>0.31464900000000001</v>
      </c>
      <c r="C11" s="9">
        <v>0.31152999999999997</v>
      </c>
      <c r="D11" s="9">
        <v>0.26744200000000001</v>
      </c>
      <c r="E11" s="9">
        <v>0.36644199999999999</v>
      </c>
      <c r="F11" s="9">
        <v>0.36959199999999998</v>
      </c>
      <c r="G11" s="12">
        <f t="shared" si="0"/>
        <v>0.32593099999999997</v>
      </c>
      <c r="H11" s="22">
        <f t="shared" si="2"/>
        <v>3.8217952556357966E-2</v>
      </c>
      <c r="S11" s="6" t="s">
        <v>158</v>
      </c>
      <c r="T11" s="20">
        <v>0.25083</v>
      </c>
      <c r="U11" s="20">
        <v>0.22622600000000001</v>
      </c>
      <c r="V11" s="20">
        <v>0.23750399999999999</v>
      </c>
      <c r="W11" s="20">
        <v>0.159029</v>
      </c>
      <c r="X11" s="20">
        <v>0.28366599999999997</v>
      </c>
      <c r="Y11" s="12">
        <f t="shared" si="1"/>
        <v>0.23145100000000002</v>
      </c>
      <c r="Z11" s="22">
        <f t="shared" si="3"/>
        <v>4.1014235050772077E-2</v>
      </c>
      <c r="AA11" s="22"/>
      <c r="AB11" s="22"/>
      <c r="AC11" s="22"/>
      <c r="AD11" s="22"/>
      <c r="AE11" s="22"/>
      <c r="AF11" s="22"/>
      <c r="AG11" s="22"/>
      <c r="AH11" s="22"/>
      <c r="AI11" s="2"/>
      <c r="AJ11" s="2"/>
      <c r="AK11" s="6" t="s">
        <v>158</v>
      </c>
      <c r="AL11" s="9">
        <v>33.164000000000001</v>
      </c>
      <c r="AM11" s="9">
        <v>34.255699999999997</v>
      </c>
      <c r="AN11" s="9">
        <v>40.376899999999999</v>
      </c>
      <c r="AO11" s="9">
        <v>31.2059</v>
      </c>
      <c r="AP11" s="9">
        <v>31.350100000000001</v>
      </c>
      <c r="AQ11" s="12">
        <f t="shared" si="4"/>
        <v>34.070520000000002</v>
      </c>
      <c r="AR11" s="22">
        <f t="shared" si="5"/>
        <v>3.3536019909345227</v>
      </c>
      <c r="AT11" s="6" t="s">
        <v>158</v>
      </c>
      <c r="AU11" s="9">
        <f t="shared" si="6"/>
        <v>138.75817600000002</v>
      </c>
      <c r="AV11" s="9">
        <f t="shared" si="7"/>
        <v>143.32584879999999</v>
      </c>
      <c r="AW11" s="9">
        <f t="shared" si="8"/>
        <v>168.93694959999999</v>
      </c>
      <c r="AX11" s="9">
        <f t="shared" si="9"/>
        <v>130.56548560000002</v>
      </c>
      <c r="AY11" s="9">
        <f t="shared" si="10"/>
        <v>131.16881840000002</v>
      </c>
      <c r="AZ11" s="24" t="str">
        <f t="shared" si="11"/>
        <v>142.55 ± 14.03</v>
      </c>
      <c r="BA11" s="22">
        <f t="shared" si="12"/>
        <v>14.031470730070035</v>
      </c>
    </row>
    <row r="12" spans="1:53" ht="15.5" x14ac:dyDescent="0.35">
      <c r="A12" s="6" t="s">
        <v>164</v>
      </c>
      <c r="B12" s="10">
        <f t="shared" ref="B12:F12" si="13">AVERAGE(B4:B11)</f>
        <v>0.72029137499999996</v>
      </c>
      <c r="C12" s="10">
        <f t="shared" si="13"/>
        <v>0.73730475000000006</v>
      </c>
      <c r="D12" s="10">
        <f t="shared" si="13"/>
        <v>0.62980862500000001</v>
      </c>
      <c r="E12" s="11">
        <f t="shared" si="13"/>
        <v>0.78171524999999997</v>
      </c>
      <c r="F12" s="10">
        <f t="shared" si="13"/>
        <v>0.76614712499999993</v>
      </c>
      <c r="G12" s="16">
        <f>AVERAGE(G4:G11)</f>
        <v>0.72705342500000003</v>
      </c>
      <c r="S12" s="6" t="s">
        <v>164</v>
      </c>
      <c r="T12" s="10">
        <f t="shared" ref="T12:X12" si="14">AVERAGE(T4:T11)</f>
        <v>0.694967</v>
      </c>
      <c r="U12" s="10">
        <f t="shared" si="14"/>
        <v>0.68689025000000004</v>
      </c>
      <c r="V12" s="10">
        <f t="shared" si="14"/>
        <v>0.65881737500000004</v>
      </c>
      <c r="W12" s="10">
        <f t="shared" si="14"/>
        <v>0.69524537500000005</v>
      </c>
      <c r="X12" s="10">
        <f t="shared" si="14"/>
        <v>0.73077725000000004</v>
      </c>
      <c r="Y12" s="14">
        <f>AVERAGE(Y4:Y11)</f>
        <v>0.69333944999999997</v>
      </c>
      <c r="AK12" s="6" t="s">
        <v>164</v>
      </c>
      <c r="AL12" s="10">
        <f>AVERAGE(AL4:AL11)</f>
        <v>18.282587499999998</v>
      </c>
      <c r="AM12" s="10">
        <f t="shared" ref="AM12:AP12" si="15">AVERAGE(AM4:AM11)</f>
        <v>18.016612500000001</v>
      </c>
      <c r="AN12" s="10">
        <f t="shared" si="15"/>
        <v>16.190887499999999</v>
      </c>
      <c r="AO12" s="10">
        <f t="shared" si="15"/>
        <v>18.523574999999997</v>
      </c>
      <c r="AP12" s="10">
        <f t="shared" si="15"/>
        <v>20.1122625</v>
      </c>
      <c r="AQ12" s="14">
        <f t="shared" si="4"/>
        <v>18.225185</v>
      </c>
      <c r="AT12" s="6" t="s">
        <v>164</v>
      </c>
      <c r="AU12" s="24" t="str">
        <f>TEXT(AVERAGE(AU4:AU11), "0.00") &amp; " ± " &amp; TEXT(_xlfn.STDEV.P(AU4:AU11), "0.00")</f>
        <v>76.49 ± 37.93</v>
      </c>
      <c r="AV12" s="24" t="str">
        <f t="shared" ref="AV12:AY12" si="16">TEXT(AVERAGE(AV4:AV11), "0.00") &amp; " ± " &amp; TEXT(_xlfn.STDEV.P(AV4:AV11), "0.00")</f>
        <v>75.38 ± 37.93</v>
      </c>
      <c r="AW12" s="24" t="str">
        <f t="shared" si="16"/>
        <v>67.74 ± 44.23</v>
      </c>
      <c r="AX12" s="24" t="str">
        <f t="shared" si="16"/>
        <v>77.50 ± 36.17</v>
      </c>
      <c r="AY12" s="24" t="str">
        <f t="shared" si="16"/>
        <v>84.15 ± 38.29</v>
      </c>
      <c r="AZ12" s="24">
        <f>4.184*AQ12</f>
        <v>76.254174039999995</v>
      </c>
    </row>
    <row r="13" spans="1:53" ht="15.5" x14ac:dyDescent="0.35">
      <c r="A13" s="6" t="s">
        <v>173</v>
      </c>
      <c r="B13" s="9">
        <f>_xlfn.STDEV.P(B4:B11)</f>
        <v>0.1937338763116416</v>
      </c>
      <c r="C13" s="9">
        <f t="shared" ref="C13:F13" si="17">_xlfn.STDEV.P(C4:C11)</f>
        <v>0.19870104357661886</v>
      </c>
      <c r="D13" s="9">
        <f t="shared" si="17"/>
        <v>0.19122762373343016</v>
      </c>
      <c r="E13" s="9">
        <f t="shared" si="17"/>
        <v>0.19693311525601126</v>
      </c>
      <c r="F13" s="9">
        <f t="shared" si="17"/>
        <v>0.19421184615159168</v>
      </c>
      <c r="S13" s="6" t="s">
        <v>173</v>
      </c>
      <c r="T13" s="9">
        <f>_xlfn.STDEV.P(T4:T11)</f>
        <v>0.2027792687529969</v>
      </c>
      <c r="U13" s="9">
        <f t="shared" ref="U13:X13" si="18">_xlfn.STDEV.P(U4:U11)</f>
        <v>0.21018462531114751</v>
      </c>
      <c r="V13" s="9">
        <f t="shared" si="18"/>
        <v>0.19641514778202404</v>
      </c>
      <c r="W13" s="9">
        <f t="shared" si="18"/>
        <v>0.23507268591115466</v>
      </c>
      <c r="X13" s="9">
        <f t="shared" si="18"/>
        <v>0.20685717521562411</v>
      </c>
      <c r="Y13" s="4"/>
      <c r="AK13" s="6" t="s">
        <v>173</v>
      </c>
      <c r="AL13" s="9">
        <f>_xlfn.STDEV.P(AL4:AL11)</f>
        <v>9.0664969485790845</v>
      </c>
      <c r="AM13" s="9">
        <f t="shared" ref="AM13:AP13" si="19">_xlfn.STDEV.P(AM4:AM11)</f>
        <v>9.0655357651157988</v>
      </c>
      <c r="AN13" s="9">
        <f t="shared" si="19"/>
        <v>10.572127697800182</v>
      </c>
      <c r="AO13" s="9">
        <f t="shared" si="19"/>
        <v>8.6436629975014121</v>
      </c>
      <c r="AP13" s="9">
        <f t="shared" si="19"/>
        <v>9.1522859230546239</v>
      </c>
      <c r="AT13" s="6" t="s">
        <v>173</v>
      </c>
      <c r="AU13" s="24"/>
      <c r="AV13" s="9">
        <f t="shared" ref="AV13:AY13" si="20">_xlfn.STDEV.P(AV4:AV11)</f>
        <v>37.930201641244508</v>
      </c>
      <c r="AW13" s="9">
        <f t="shared" si="20"/>
        <v>44.233782287595943</v>
      </c>
      <c r="AX13" s="9">
        <f t="shared" si="20"/>
        <v>36.165085981545886</v>
      </c>
      <c r="AY13" s="9">
        <f t="shared" si="20"/>
        <v>38.293164302060553</v>
      </c>
    </row>
    <row r="14" spans="1:53" ht="15.5" x14ac:dyDescent="0.35">
      <c r="A14" s="6" t="s">
        <v>174</v>
      </c>
      <c r="B14" s="24" t="str">
        <f>TEXT(AVERAGE(B4:B10), "0.00") &amp; " ± " &amp; TEXT(_xlfn.STDEV.P(B4:B10), "0.00")</f>
        <v>0.78 ± 0.13</v>
      </c>
      <c r="C14" s="24" t="str">
        <f t="shared" ref="C14:F14" si="21">TEXT(AVERAGE(C4:C10), "0.00") &amp; " ± " &amp; TEXT(_xlfn.STDEV.P(C4:C10), "0.00")</f>
        <v>0.80 ± 0.12</v>
      </c>
      <c r="D14" s="24" t="str">
        <f t="shared" si="21"/>
        <v>0.68 ± 0.14</v>
      </c>
      <c r="E14" s="24" t="str">
        <f t="shared" si="21"/>
        <v>0.84 ± 0.13</v>
      </c>
      <c r="F14" s="24" t="str">
        <f t="shared" si="21"/>
        <v>0.82 ± 0.13</v>
      </c>
      <c r="G14" s="2">
        <f>AVERAGE(G4:G10)</f>
        <v>0.78435662857142863</v>
      </c>
      <c r="S14" s="6"/>
      <c r="T14" s="24" t="str">
        <f>TEXT(AVERAGE(T4:T10), "0.00") &amp; " ± " &amp; TEXT(_xlfn.STDEV.P(T4:T10), "0.00")</f>
        <v>0.76 ± 0.12</v>
      </c>
      <c r="U14" s="24" t="str">
        <f t="shared" ref="U14:X14" si="22">TEXT(AVERAGE(U4:U10), "0.00") &amp; " ± " &amp; TEXT(_xlfn.STDEV.P(U4:U10), "0.00")</f>
        <v>0.75 ± 0.13</v>
      </c>
      <c r="V14" s="24" t="str">
        <f t="shared" si="22"/>
        <v>0.72 ± 0.12</v>
      </c>
      <c r="W14" s="24" t="str">
        <f t="shared" si="22"/>
        <v>0.77 ± 0.13</v>
      </c>
      <c r="X14" s="24" t="str">
        <f t="shared" si="22"/>
        <v>0.79 ± 0.13</v>
      </c>
      <c r="Y14" s="2">
        <f>AVERAGE(Y4:Y10)</f>
        <v>0.75932351428571432</v>
      </c>
      <c r="AK14" s="6"/>
      <c r="AL14" s="24" t="str">
        <f>TEXT(AVERAGE(AL4:AL10), "0.00") &amp; " ± " &amp; TEXT(_xlfn.STDEV.P(AL4:AL10), "0.00")</f>
        <v>16.16 ± 7.60</v>
      </c>
      <c r="AM14" s="24" t="str">
        <f t="shared" ref="AM14:AP14" si="23">TEXT(AVERAGE(AM4:AM10), "0.00") &amp; " ± " &amp; TEXT(_xlfn.STDEV.P(AM4:AM10), "0.00")</f>
        <v>15.70 ± 7.13</v>
      </c>
      <c r="AN14" s="24" t="str">
        <f t="shared" si="23"/>
        <v>12.74 ± 5.68</v>
      </c>
      <c r="AO14" s="24" t="str">
        <f t="shared" si="23"/>
        <v>16.71 ± 7.69</v>
      </c>
      <c r="AP14" s="24" t="str">
        <f t="shared" si="23"/>
        <v>18.51 ± 8.67</v>
      </c>
      <c r="AQ14" s="14">
        <f>AVERAGE(AQ4:AQ10)</f>
        <v>15.961565714285715</v>
      </c>
      <c r="AT14" s="6"/>
      <c r="AU14" s="24" t="str">
        <f>TEXT(AVERAGE(AU4:AU10), "0.00") &amp; " ± " &amp; TEXT(_xlfn.STDEV.P(AU4:AU10), "0.00")</f>
        <v>67.60 ± 31.81</v>
      </c>
      <c r="AV14" s="24" t="str">
        <f t="shared" ref="AV14:AY14" si="24">TEXT(AVERAGE(AV4:AV10), "0.00") &amp; " ± " &amp; TEXT(_xlfn.STDEV.P(AV4:AV10), "0.00")</f>
        <v>65.68 ± 29.84</v>
      </c>
      <c r="AW14" s="24" t="str">
        <f t="shared" si="24"/>
        <v>53.29 ± 23.75</v>
      </c>
      <c r="AX14" s="24" t="str">
        <f t="shared" si="24"/>
        <v>69.92 ± 32.17</v>
      </c>
      <c r="AY14" s="24" t="str">
        <f t="shared" si="24"/>
        <v>77.43 ± 36.26</v>
      </c>
      <c r="AZ14" s="24">
        <f>4.184*AQ14</f>
        <v>66.783190948571431</v>
      </c>
    </row>
    <row r="15" spans="1:53" x14ac:dyDescent="0.35">
      <c r="C15" s="4"/>
      <c r="D15" s="4"/>
      <c r="E15" s="4"/>
      <c r="T15" s="2"/>
      <c r="U15" s="2"/>
      <c r="V15" s="2"/>
      <c r="W15" s="2"/>
      <c r="X15" s="2"/>
      <c r="Y15" s="4"/>
      <c r="AL15" s="2"/>
      <c r="AM15" s="2"/>
      <c r="AN15" s="2"/>
      <c r="AO15" s="2"/>
      <c r="AP15" s="2"/>
      <c r="AU15" s="2"/>
      <c r="AV15" s="2"/>
      <c r="AW15" s="2"/>
      <c r="AX15" s="2"/>
      <c r="AY15" s="2"/>
    </row>
    <row r="16" spans="1:53" ht="15.5" x14ac:dyDescent="0.35">
      <c r="A16" s="6" t="s">
        <v>178</v>
      </c>
      <c r="B16" s="15" t="s">
        <v>152</v>
      </c>
      <c r="C16" s="15" t="s">
        <v>155</v>
      </c>
      <c r="D16" s="15" t="s">
        <v>153</v>
      </c>
      <c r="E16" s="15" t="s">
        <v>156</v>
      </c>
      <c r="F16" s="15" t="s">
        <v>154</v>
      </c>
      <c r="G16" s="15" t="s">
        <v>164</v>
      </c>
      <c r="H16" s="23" t="s">
        <v>173</v>
      </c>
      <c r="J16" s="6" t="s">
        <v>179</v>
      </c>
      <c r="K16" s="15" t="s">
        <v>152</v>
      </c>
      <c r="L16" s="15" t="s">
        <v>155</v>
      </c>
      <c r="M16" s="15" t="s">
        <v>153</v>
      </c>
      <c r="N16" s="15" t="s">
        <v>156</v>
      </c>
      <c r="O16" s="15" t="s">
        <v>154</v>
      </c>
      <c r="P16" s="15" t="s">
        <v>164</v>
      </c>
      <c r="Q16" s="15" t="s">
        <v>173</v>
      </c>
      <c r="S16" s="6" t="s">
        <v>181</v>
      </c>
      <c r="T16" s="15" t="s">
        <v>152</v>
      </c>
      <c r="U16" s="15" t="s">
        <v>155</v>
      </c>
      <c r="V16" s="15" t="s">
        <v>153</v>
      </c>
      <c r="W16" s="15" t="s">
        <v>156</v>
      </c>
      <c r="X16" s="15" t="s">
        <v>154</v>
      </c>
      <c r="Y16" s="15" t="s">
        <v>164</v>
      </c>
      <c r="Z16" s="23" t="s">
        <v>173</v>
      </c>
      <c r="AA16" s="23"/>
      <c r="AB16" s="6" t="s">
        <v>180</v>
      </c>
      <c r="AC16" s="15" t="s">
        <v>152</v>
      </c>
      <c r="AD16" s="15" t="s">
        <v>155</v>
      </c>
      <c r="AE16" s="15" t="s">
        <v>153</v>
      </c>
      <c r="AF16" s="15" t="s">
        <v>156</v>
      </c>
      <c r="AG16" s="15" t="s">
        <v>154</v>
      </c>
      <c r="AH16" s="15" t="s">
        <v>164</v>
      </c>
      <c r="AI16" s="23" t="s">
        <v>173</v>
      </c>
      <c r="AJ16" s="23"/>
      <c r="AK16" s="6" t="s">
        <v>171</v>
      </c>
      <c r="AL16" s="15" t="s">
        <v>152</v>
      </c>
      <c r="AM16" s="15" t="s">
        <v>155</v>
      </c>
      <c r="AN16" s="15" t="s">
        <v>153</v>
      </c>
      <c r="AO16" s="15" t="s">
        <v>156</v>
      </c>
      <c r="AP16" s="15" t="s">
        <v>154</v>
      </c>
      <c r="AQ16" s="15" t="s">
        <v>164</v>
      </c>
      <c r="AR16" s="23" t="s">
        <v>173</v>
      </c>
      <c r="AT16" s="6" t="s">
        <v>171</v>
      </c>
      <c r="AU16" s="15" t="s">
        <v>152</v>
      </c>
      <c r="AV16" s="15" t="s">
        <v>155</v>
      </c>
      <c r="AW16" s="15" t="s">
        <v>153</v>
      </c>
      <c r="AX16" s="15" t="s">
        <v>156</v>
      </c>
      <c r="AY16" s="15" t="s">
        <v>154</v>
      </c>
      <c r="AZ16" s="15" t="s">
        <v>164</v>
      </c>
      <c r="BA16" s="23" t="s">
        <v>173</v>
      </c>
    </row>
    <row r="17" spans="1:53" ht="18.5" x14ac:dyDescent="0.35">
      <c r="A17" s="6" t="s">
        <v>159</v>
      </c>
      <c r="B17" s="9">
        <v>-35.216900000000003</v>
      </c>
      <c r="C17" s="9">
        <v>-32.193899999999999</v>
      </c>
      <c r="D17" s="9">
        <v>-36.683799999999998</v>
      </c>
      <c r="E17" s="9">
        <v>-30.49</v>
      </c>
      <c r="F17" s="9">
        <v>-35.041400000000003</v>
      </c>
      <c r="G17" s="12">
        <f t="shared" ref="G17:G24" si="25">AVERAGE(B17:F17)</f>
        <v>-33.925200000000004</v>
      </c>
      <c r="H17" s="22">
        <f>_xlfn.STDEV.P(B17:F17)</f>
        <v>2.2504339146040269</v>
      </c>
      <c r="J17" s="6" t="s">
        <v>159</v>
      </c>
      <c r="K17" s="9">
        <f>4.184*B17</f>
        <v>-147.34750960000002</v>
      </c>
      <c r="L17" s="9">
        <f>C17*4.184</f>
        <v>-134.69927760000002</v>
      </c>
      <c r="M17" s="9">
        <f>D17*4.184</f>
        <v>-153.48501920000001</v>
      </c>
      <c r="N17" s="9">
        <f>E17*4.184</f>
        <v>-127.57016</v>
      </c>
      <c r="O17" s="9">
        <f>F17*4.184</f>
        <v>-146.61321760000001</v>
      </c>
      <c r="P17" s="24" t="str">
        <f>TEXT(AVERAGE(K17:O17), "0.00") &amp; " ± " &amp; TEXT(_xlfn.STDEV.P(K17:O17), "0.00")</f>
        <v>-141.94 ± 9.42</v>
      </c>
      <c r="Q17" s="22">
        <f>_xlfn.STDEV.P(K17:O17)</f>
        <v>9.4158154987032479</v>
      </c>
      <c r="S17" s="6" t="s">
        <v>159</v>
      </c>
      <c r="T17" s="9">
        <v>-40.826999999999998</v>
      </c>
      <c r="U17" s="9">
        <v>-42.406300000000002</v>
      </c>
      <c r="V17" s="9">
        <v>-36.9771</v>
      </c>
      <c r="W17" s="17">
        <v>-40.714700000000001</v>
      </c>
      <c r="X17" s="17">
        <v>-39.689399999999999</v>
      </c>
      <c r="Y17" s="12">
        <f t="shared" ref="Y17:Y24" si="26">AVERAGE(T17:X17)</f>
        <v>-40.122900000000001</v>
      </c>
      <c r="Z17" s="22">
        <f>_xlfn.STDEV.P(T17:X17)</f>
        <v>1.796879489559609</v>
      </c>
      <c r="AA17" s="22"/>
      <c r="AB17" s="6" t="s">
        <v>159</v>
      </c>
      <c r="AC17" s="9">
        <f>T17*4.184</f>
        <v>-170.820168</v>
      </c>
      <c r="AD17" s="9">
        <f>U17*4.184</f>
        <v>-177.4279592</v>
      </c>
      <c r="AE17" s="9">
        <f>V17*4.184</f>
        <v>-154.71218640000001</v>
      </c>
      <c r="AF17" s="9">
        <f>W17*4.184</f>
        <v>-170.3503048</v>
      </c>
      <c r="AG17" s="9">
        <f>X17*4.184</f>
        <v>-166.0604496</v>
      </c>
      <c r="AH17" s="24" t="str">
        <f>TEXT(AVERAGE(AC17:AG17), "0.00") &amp; " ± " &amp; TEXT(_xlfn.STDEV.P(AC17:AG17), "0.00")</f>
        <v>-167.87 ± 7.52</v>
      </c>
      <c r="AI17" s="22">
        <f>_xlfn.STDEV.P(AC17:AG17)</f>
        <v>7.5181437843174015</v>
      </c>
      <c r="AJ17" s="22"/>
      <c r="AK17" s="6" t="s">
        <v>159</v>
      </c>
      <c r="AL17" s="9">
        <v>32.1815</v>
      </c>
      <c r="AM17" s="9">
        <v>33.514499999999998</v>
      </c>
      <c r="AN17" s="9">
        <v>25.8932</v>
      </c>
      <c r="AO17" s="17">
        <v>33.3827</v>
      </c>
      <c r="AP17" s="17">
        <v>34.004800000000003</v>
      </c>
      <c r="AQ17" s="12">
        <f>AVERAGE(AL17:AP17)</f>
        <v>31.795339999999999</v>
      </c>
      <c r="AR17" s="22">
        <f>_xlfn.STDEV.P(AL17:AP17)</f>
        <v>3.0113555914903176</v>
      </c>
      <c r="AT17" s="6" t="s">
        <v>159</v>
      </c>
      <c r="AU17" s="9">
        <f>AL17*4.184</f>
        <v>134.64739600000001</v>
      </c>
      <c r="AV17" s="9">
        <f>AM17*4.184</f>
        <v>140.22466800000001</v>
      </c>
      <c r="AW17" s="9">
        <f>AN17*4.184</f>
        <v>108.33714880000001</v>
      </c>
      <c r="AX17" s="9">
        <f>AO17*4.184</f>
        <v>139.67321680000001</v>
      </c>
      <c r="AY17" s="9">
        <f>AP17*4.184</f>
        <v>142.27608320000002</v>
      </c>
      <c r="AZ17" s="24" t="str">
        <f>TEXT(AVERAGE(AU17:AY17), "0.00") &amp; " ± " &amp; TEXT(_xlfn.STDEV.P(AU17:AY17), "0.00")</f>
        <v>133.03 ± 12.60</v>
      </c>
      <c r="BA17" s="22">
        <f>_xlfn.STDEV.P(AU17:AY17)</f>
        <v>12.59951179479549</v>
      </c>
    </row>
    <row r="18" spans="1:53" ht="18.5" x14ac:dyDescent="0.35">
      <c r="A18" s="7" t="s">
        <v>160</v>
      </c>
      <c r="B18" s="9">
        <v>-29.203900000000001</v>
      </c>
      <c r="C18" s="9">
        <v>-26.617799999999999</v>
      </c>
      <c r="D18" s="9">
        <v>-29.974699999999999</v>
      </c>
      <c r="E18" s="9">
        <v>-24.752700000000001</v>
      </c>
      <c r="F18" s="9">
        <v>-28.728300000000001</v>
      </c>
      <c r="G18" s="12">
        <f t="shared" si="25"/>
        <v>-27.85548</v>
      </c>
      <c r="H18" s="22">
        <f t="shared" ref="H18:H24" si="27">_xlfn.STDEV.P(B18:F18)</f>
        <v>1.9094627604643144</v>
      </c>
      <c r="J18" s="7" t="s">
        <v>160</v>
      </c>
      <c r="K18" s="9">
        <f t="shared" ref="K18:K26" si="28">4.184*B18</f>
        <v>-122.1891176</v>
      </c>
      <c r="L18" s="9">
        <f t="shared" ref="L18:L26" si="29">C18*4.184</f>
        <v>-111.36887520000001</v>
      </c>
      <c r="M18" s="9">
        <f t="shared" ref="M18:M26" si="30">D18*4.184</f>
        <v>-125.4141448</v>
      </c>
      <c r="N18" s="9">
        <f t="shared" ref="N18:N26" si="31">E18*4.184</f>
        <v>-103.56529680000001</v>
      </c>
      <c r="O18" s="9">
        <f t="shared" ref="O18:O26" si="32">F18*4.184</f>
        <v>-120.1992072</v>
      </c>
      <c r="P18" s="24" t="str">
        <f t="shared" ref="P18:P24" si="33">TEXT(AVERAGE(K18:O18), "0.00") &amp; " ± " &amp; TEXT(_xlfn.STDEV.P(K18:O18), "0.00")</f>
        <v>-116.55 ± 7.99</v>
      </c>
      <c r="Q18" s="22">
        <f t="shared" ref="Q18:Q24" si="34">_xlfn.STDEV.P(K18:O18)</f>
        <v>7.9891921897826883</v>
      </c>
      <c r="S18" s="7" t="s">
        <v>160</v>
      </c>
      <c r="T18" s="9">
        <v>-34.095300000000002</v>
      </c>
      <c r="U18" s="9">
        <v>-35.419499999999999</v>
      </c>
      <c r="V18" s="9">
        <v>-29.9024</v>
      </c>
      <c r="W18" s="17">
        <v>-33.6768</v>
      </c>
      <c r="X18" s="17">
        <v>-32.9724</v>
      </c>
      <c r="Y18" s="12">
        <f t="shared" si="26"/>
        <v>-33.213279999999997</v>
      </c>
      <c r="Z18" s="22">
        <f t="shared" ref="Z18:Z24" si="35">_xlfn.STDEV.P(T18:X18)</f>
        <v>1.8373985037546972</v>
      </c>
      <c r="AA18" s="22"/>
      <c r="AB18" s="7" t="s">
        <v>160</v>
      </c>
      <c r="AC18" s="9">
        <f t="shared" ref="AC18:AC24" si="36">T18*4.184</f>
        <v>-142.6547352</v>
      </c>
      <c r="AD18" s="9">
        <f t="shared" ref="AD18:AD26" si="37">U18*4.184</f>
        <v>-148.195188</v>
      </c>
      <c r="AE18" s="9">
        <f t="shared" ref="AE18:AE24" si="38">V18*4.184</f>
        <v>-125.1116416</v>
      </c>
      <c r="AF18" s="9">
        <f t="shared" ref="AF18:AF24" si="39">W18*4.184</f>
        <v>-140.90373120000001</v>
      </c>
      <c r="AG18" s="9">
        <f t="shared" ref="AG18:AG24" si="40">X18*4.184</f>
        <v>-137.9565216</v>
      </c>
      <c r="AH18" s="24" t="str">
        <f t="shared" ref="AH18:AH24" si="41">TEXT(AVERAGE(AC18:AG18), "0.00") &amp; " ± " &amp; TEXT(_xlfn.STDEV.P(AC18:AG18), "0.00")</f>
        <v>-138.96 ± 7.69</v>
      </c>
      <c r="AI18" s="22">
        <f t="shared" ref="AI18:AI24" si="42">_xlfn.STDEV.P(AC18:AG18)</f>
        <v>7.6876753397096547</v>
      </c>
      <c r="AJ18" s="22"/>
      <c r="AK18" s="7" t="s">
        <v>160</v>
      </c>
      <c r="AL18" s="9">
        <v>12.3063</v>
      </c>
      <c r="AM18" s="9">
        <v>13.4549</v>
      </c>
      <c r="AN18" s="9">
        <v>6.5689000000000002</v>
      </c>
      <c r="AO18" s="17">
        <v>13.292199999999999</v>
      </c>
      <c r="AP18" s="17">
        <v>14.0456</v>
      </c>
      <c r="AQ18" s="12">
        <f t="shared" ref="AQ18:AQ25" si="43">AVERAGE(AL18:AP18)</f>
        <v>11.933580000000001</v>
      </c>
      <c r="AR18" s="22">
        <f t="shared" ref="AR18:AR24" si="44">_xlfn.STDEV.P(AL18:AP18)</f>
        <v>2.7400585040469467</v>
      </c>
      <c r="AT18" s="7" t="s">
        <v>160</v>
      </c>
      <c r="AU18" s="9">
        <f t="shared" ref="AU18:AU24" si="45">AL18*4.184</f>
        <v>51.489559200000002</v>
      </c>
      <c r="AV18" s="9">
        <f t="shared" ref="AV18:AV24" si="46">AM18*4.184</f>
        <v>56.295301600000002</v>
      </c>
      <c r="AW18" s="9">
        <f t="shared" ref="AW18:AW24" si="47">AN18*4.184</f>
        <v>27.484277600000002</v>
      </c>
      <c r="AX18" s="9">
        <f t="shared" ref="AX18:AX24" si="48">AO18*4.184</f>
        <v>55.614564799999997</v>
      </c>
      <c r="AY18" s="9">
        <f t="shared" ref="AY18:AY24" si="49">AP18*4.184</f>
        <v>58.766790400000005</v>
      </c>
      <c r="AZ18" s="24" t="str">
        <f t="shared" ref="AZ18:AZ24" si="50">TEXT(AVERAGE(AU18:AY18), "0.00") &amp; " ± " &amp; TEXT(_xlfn.STDEV.P(AU18:AY18), "0.00")</f>
        <v>49.93 ± 11.46</v>
      </c>
      <c r="BA18" s="22">
        <f t="shared" ref="BA18:BA24" si="51">_xlfn.STDEV.P(AU18:AY18)</f>
        <v>11.464404780932432</v>
      </c>
    </row>
    <row r="19" spans="1:53" ht="18.5" x14ac:dyDescent="0.35">
      <c r="A19" s="7" t="s">
        <v>161</v>
      </c>
      <c r="B19" s="9">
        <v>-32.159799999999997</v>
      </c>
      <c r="C19" s="9">
        <v>-29.928699999999999</v>
      </c>
      <c r="D19" s="9">
        <v>-32.468899999999998</v>
      </c>
      <c r="E19" s="9">
        <v>-27.603200000000001</v>
      </c>
      <c r="F19" s="9">
        <v>-31.296800000000001</v>
      </c>
      <c r="G19" s="12">
        <f t="shared" si="25"/>
        <v>-30.691480000000002</v>
      </c>
      <c r="H19" s="22">
        <f t="shared" si="27"/>
        <v>1.777689763035158</v>
      </c>
      <c r="J19" s="7" t="s">
        <v>161</v>
      </c>
      <c r="K19" s="9">
        <f t="shared" si="28"/>
        <v>-134.55660319999998</v>
      </c>
      <c r="L19" s="9">
        <f t="shared" si="29"/>
        <v>-125.2216808</v>
      </c>
      <c r="M19" s="9">
        <f t="shared" si="30"/>
        <v>-135.84987759999999</v>
      </c>
      <c r="N19" s="9">
        <f t="shared" si="31"/>
        <v>-115.49178880000001</v>
      </c>
      <c r="O19" s="9">
        <f t="shared" si="32"/>
        <v>-130.94581120000001</v>
      </c>
      <c r="P19" s="24" t="str">
        <f t="shared" si="33"/>
        <v>-128.41 ± 7.44</v>
      </c>
      <c r="Q19" s="22">
        <f t="shared" si="34"/>
        <v>7.4378539685390983</v>
      </c>
      <c r="S19" s="7" t="s">
        <v>161</v>
      </c>
      <c r="T19" s="9">
        <v>-38.471699999999998</v>
      </c>
      <c r="U19" s="9">
        <v>-40.065600000000003</v>
      </c>
      <c r="V19" s="9">
        <v>-33.631100000000004</v>
      </c>
      <c r="W19" s="9">
        <v>-37.933300000000003</v>
      </c>
      <c r="X19" s="9">
        <v>-36.995600000000003</v>
      </c>
      <c r="Y19" s="12">
        <f t="shared" si="26"/>
        <v>-37.419460000000001</v>
      </c>
      <c r="Z19" s="22">
        <f t="shared" si="35"/>
        <v>2.1403096155463111</v>
      </c>
      <c r="AA19" s="22"/>
      <c r="AB19" s="7" t="s">
        <v>161</v>
      </c>
      <c r="AC19" s="9">
        <f t="shared" si="36"/>
        <v>-160.9655928</v>
      </c>
      <c r="AD19" s="9">
        <f t="shared" si="37"/>
        <v>-167.63447040000003</v>
      </c>
      <c r="AE19" s="9">
        <f t="shared" si="38"/>
        <v>-140.71252240000001</v>
      </c>
      <c r="AF19" s="9">
        <f t="shared" si="39"/>
        <v>-158.71292720000002</v>
      </c>
      <c r="AG19" s="9">
        <f t="shared" si="40"/>
        <v>-154.78959040000001</v>
      </c>
      <c r="AH19" s="24" t="str">
        <f t="shared" si="41"/>
        <v>-156.56 ± 8.96</v>
      </c>
      <c r="AI19" s="22">
        <f t="shared" si="42"/>
        <v>8.9550554314457695</v>
      </c>
      <c r="AJ19" s="22"/>
      <c r="AK19" s="7" t="s">
        <v>161</v>
      </c>
      <c r="AL19" s="9">
        <v>22.5806</v>
      </c>
      <c r="AM19" s="9">
        <v>23.7349</v>
      </c>
      <c r="AN19" s="9">
        <v>15.4284</v>
      </c>
      <c r="AO19" s="9">
        <v>23.5535</v>
      </c>
      <c r="AP19" s="9">
        <v>24.407499999999999</v>
      </c>
      <c r="AQ19" s="12">
        <f t="shared" si="43"/>
        <v>21.94098</v>
      </c>
      <c r="AR19" s="22">
        <f t="shared" si="44"/>
        <v>3.3083198946897561</v>
      </c>
      <c r="AT19" s="7" t="s">
        <v>161</v>
      </c>
      <c r="AU19" s="9">
        <f t="shared" si="45"/>
        <v>94.47723040000001</v>
      </c>
      <c r="AV19" s="9">
        <f t="shared" si="46"/>
        <v>99.306821600000006</v>
      </c>
      <c r="AW19" s="9">
        <f t="shared" si="47"/>
        <v>64.552425600000007</v>
      </c>
      <c r="AX19" s="9">
        <f t="shared" si="48"/>
        <v>98.547843999999998</v>
      </c>
      <c r="AY19" s="9">
        <f t="shared" si="49"/>
        <v>102.12098</v>
      </c>
      <c r="AZ19" s="24" t="str">
        <f t="shared" si="50"/>
        <v>91.80 ± 13.84</v>
      </c>
      <c r="BA19" s="22">
        <f t="shared" si="51"/>
        <v>13.842010439381864</v>
      </c>
    </row>
    <row r="20" spans="1:53" ht="15.5" x14ac:dyDescent="0.35">
      <c r="A20" s="8" t="s">
        <v>151</v>
      </c>
      <c r="B20" s="9">
        <v>-29.943300000000001</v>
      </c>
      <c r="C20" s="9">
        <v>-28.2209</v>
      </c>
      <c r="D20" s="9">
        <v>-30.0715</v>
      </c>
      <c r="E20" s="9">
        <v>-26.151299999999999</v>
      </c>
      <c r="F20" s="9">
        <v>-29.386199999999999</v>
      </c>
      <c r="G20" s="12">
        <f t="shared" si="25"/>
        <v>-28.754640000000002</v>
      </c>
      <c r="H20" s="22">
        <f t="shared" si="27"/>
        <v>1.4565821934926988</v>
      </c>
      <c r="J20" s="8" t="s">
        <v>151</v>
      </c>
      <c r="K20" s="9">
        <f t="shared" si="28"/>
        <v>-125.28276720000001</v>
      </c>
      <c r="L20" s="9">
        <f t="shared" si="29"/>
        <v>-118.07624560000001</v>
      </c>
      <c r="M20" s="9">
        <f t="shared" si="30"/>
        <v>-125.81915600000001</v>
      </c>
      <c r="N20" s="9">
        <f t="shared" si="31"/>
        <v>-109.4170392</v>
      </c>
      <c r="O20" s="9">
        <f t="shared" si="32"/>
        <v>-122.95186080000001</v>
      </c>
      <c r="P20" s="24" t="str">
        <f t="shared" si="33"/>
        <v>-120.31 ± 6.09</v>
      </c>
      <c r="Q20" s="22">
        <f t="shared" si="34"/>
        <v>6.0943398975734508</v>
      </c>
      <c r="S20" s="8" t="s">
        <v>151</v>
      </c>
      <c r="T20" s="9">
        <v>-38.476199999999999</v>
      </c>
      <c r="U20" s="9">
        <v>-40.258000000000003</v>
      </c>
      <c r="V20" s="9">
        <v>-35.119100000000003</v>
      </c>
      <c r="W20" s="9">
        <v>-38.336300000000001</v>
      </c>
      <c r="X20" s="9">
        <v>-37.615699999999997</v>
      </c>
      <c r="Y20" s="12">
        <f t="shared" si="26"/>
        <v>-37.961060000000003</v>
      </c>
      <c r="Z20" s="22">
        <f t="shared" si="35"/>
        <v>1.6660202767073391</v>
      </c>
      <c r="AA20" s="22"/>
      <c r="AB20" s="8" t="s">
        <v>151</v>
      </c>
      <c r="AC20" s="9">
        <f t="shared" si="36"/>
        <v>-160.98442080000001</v>
      </c>
      <c r="AD20" s="9">
        <f t="shared" si="37"/>
        <v>-168.43947200000002</v>
      </c>
      <c r="AE20" s="9">
        <f t="shared" si="38"/>
        <v>-146.93831440000002</v>
      </c>
      <c r="AF20" s="9">
        <f t="shared" si="39"/>
        <v>-160.39907920000002</v>
      </c>
      <c r="AG20" s="9">
        <f t="shared" si="40"/>
        <v>-157.3840888</v>
      </c>
      <c r="AH20" s="24" t="str">
        <f t="shared" si="41"/>
        <v>-158.83 ± 6.97</v>
      </c>
      <c r="AI20" s="22">
        <f t="shared" si="42"/>
        <v>6.9706288377435079</v>
      </c>
      <c r="AJ20" s="22"/>
      <c r="AK20" s="8" t="s">
        <v>151</v>
      </c>
      <c r="AL20" s="9">
        <v>28.993500000000001</v>
      </c>
      <c r="AM20" s="9">
        <v>30.7376</v>
      </c>
      <c r="AN20" s="9">
        <v>21.929300000000001</v>
      </c>
      <c r="AO20" s="9">
        <v>30.3247</v>
      </c>
      <c r="AP20" s="9">
        <v>31.3233</v>
      </c>
      <c r="AQ20" s="12">
        <f t="shared" si="43"/>
        <v>28.661679999999997</v>
      </c>
      <c r="AR20" s="22">
        <f t="shared" si="44"/>
        <v>3.4523715144231031</v>
      </c>
      <c r="AT20" s="8" t="s">
        <v>151</v>
      </c>
      <c r="AU20" s="9">
        <f t="shared" si="45"/>
        <v>121.30880400000001</v>
      </c>
      <c r="AV20" s="9">
        <f t="shared" si="46"/>
        <v>128.60611840000001</v>
      </c>
      <c r="AW20" s="9">
        <f t="shared" si="47"/>
        <v>91.752191200000013</v>
      </c>
      <c r="AX20" s="9">
        <f t="shared" si="48"/>
        <v>126.8785448</v>
      </c>
      <c r="AY20" s="9">
        <f t="shared" si="49"/>
        <v>131.0566872</v>
      </c>
      <c r="AZ20" s="24" t="str">
        <f t="shared" si="50"/>
        <v>119.92 ± 14.44</v>
      </c>
      <c r="BA20" s="22">
        <f t="shared" si="51"/>
        <v>14.444722416346172</v>
      </c>
    </row>
    <row r="21" spans="1:53" ht="15.5" x14ac:dyDescent="0.35">
      <c r="A21" s="7" t="s">
        <v>162</v>
      </c>
      <c r="B21" s="9">
        <v>-23.462299999999999</v>
      </c>
      <c r="C21" s="9">
        <v>-20.383500000000002</v>
      </c>
      <c r="D21" s="9">
        <v>-24.685500000000001</v>
      </c>
      <c r="E21" s="9">
        <v>-18.7437</v>
      </c>
      <c r="F21" s="9">
        <v>-23.6904</v>
      </c>
      <c r="G21" s="12">
        <f t="shared" si="25"/>
        <v>-22.193080000000002</v>
      </c>
      <c r="H21" s="22">
        <f t="shared" si="27"/>
        <v>2.2466796036818573</v>
      </c>
      <c r="J21" s="7" t="s">
        <v>162</v>
      </c>
      <c r="K21" s="9">
        <f t="shared" si="28"/>
        <v>-98.166263200000003</v>
      </c>
      <c r="L21" s="9">
        <f t="shared" si="29"/>
        <v>-85.284564000000003</v>
      </c>
      <c r="M21" s="9">
        <f t="shared" si="30"/>
        <v>-103.28413200000001</v>
      </c>
      <c r="N21" s="9">
        <f t="shared" si="31"/>
        <v>-78.423640800000001</v>
      </c>
      <c r="O21" s="9">
        <f t="shared" si="32"/>
        <v>-99.120633600000005</v>
      </c>
      <c r="P21" s="24" t="str">
        <f t="shared" si="33"/>
        <v>-92.86 ± 9.40</v>
      </c>
      <c r="Q21" s="22">
        <f t="shared" si="34"/>
        <v>9.4001074618048914</v>
      </c>
      <c r="S21" s="7" t="s">
        <v>162</v>
      </c>
      <c r="T21" s="9">
        <v>-27.069299999999998</v>
      </c>
      <c r="U21" s="9">
        <v>-27.857600000000001</v>
      </c>
      <c r="V21" s="9">
        <v>-22.9209</v>
      </c>
      <c r="W21" s="9">
        <v>-26.5154</v>
      </c>
      <c r="X21" s="9">
        <v>-26.314599999999999</v>
      </c>
      <c r="Y21" s="13">
        <f t="shared" si="26"/>
        <v>-26.135559999999998</v>
      </c>
      <c r="Z21" s="22">
        <f t="shared" si="35"/>
        <v>1.6939695872122382</v>
      </c>
      <c r="AA21" s="22"/>
      <c r="AB21" s="7" t="s">
        <v>162</v>
      </c>
      <c r="AC21" s="9">
        <f t="shared" si="36"/>
        <v>-113.25795119999999</v>
      </c>
      <c r="AD21" s="9">
        <f t="shared" si="37"/>
        <v>-116.55619840000001</v>
      </c>
      <c r="AE21" s="9">
        <f t="shared" si="38"/>
        <v>-95.901045600000003</v>
      </c>
      <c r="AF21" s="9">
        <f t="shared" si="39"/>
        <v>-110.94043360000001</v>
      </c>
      <c r="AG21" s="9">
        <f t="shared" si="40"/>
        <v>-110.1002864</v>
      </c>
      <c r="AH21" s="24" t="str">
        <f t="shared" si="41"/>
        <v>-109.35 ± 7.09</v>
      </c>
      <c r="AI21" s="22">
        <f t="shared" si="42"/>
        <v>7.0875687528960052</v>
      </c>
      <c r="AJ21" s="22"/>
      <c r="AK21" s="7" t="s">
        <v>162</v>
      </c>
      <c r="AL21" s="9">
        <v>5.5029000000000003</v>
      </c>
      <c r="AM21" s="9">
        <v>5.0918000000000001</v>
      </c>
      <c r="AN21" s="9">
        <v>11.592499999999999</v>
      </c>
      <c r="AO21" s="9">
        <v>5.0712000000000002</v>
      </c>
      <c r="AP21" s="9">
        <v>4.7393999999999998</v>
      </c>
      <c r="AQ21" s="12">
        <f t="shared" si="43"/>
        <v>6.3995599999999992</v>
      </c>
      <c r="AR21" s="22">
        <f t="shared" si="44"/>
        <v>2.6077397390077097</v>
      </c>
      <c r="AT21" s="7" t="s">
        <v>162</v>
      </c>
      <c r="AU21" s="9">
        <f t="shared" si="45"/>
        <v>23.024133600000003</v>
      </c>
      <c r="AV21" s="9">
        <f t="shared" si="46"/>
        <v>21.304091200000002</v>
      </c>
      <c r="AW21" s="9">
        <f t="shared" si="47"/>
        <v>48.503019999999999</v>
      </c>
      <c r="AX21" s="9">
        <f t="shared" si="48"/>
        <v>21.217900800000002</v>
      </c>
      <c r="AY21" s="9">
        <f t="shared" si="49"/>
        <v>19.8296496</v>
      </c>
      <c r="AZ21" s="24" t="str">
        <f t="shared" si="50"/>
        <v>26.78 ± 10.91</v>
      </c>
      <c r="BA21" s="22">
        <f t="shared" si="51"/>
        <v>10.91078306800825</v>
      </c>
    </row>
    <row r="22" spans="1:53" ht="46.5" x14ac:dyDescent="0.35">
      <c r="A22" s="7" t="s">
        <v>163</v>
      </c>
      <c r="B22" s="9">
        <v>-26.411000000000001</v>
      </c>
      <c r="C22" s="9">
        <v>-24.410799999999998</v>
      </c>
      <c r="D22" s="9">
        <v>-24.812100000000001</v>
      </c>
      <c r="E22" s="9">
        <v>-23.167300000000001</v>
      </c>
      <c r="F22" s="9">
        <v>-26.9192</v>
      </c>
      <c r="G22" s="12">
        <f t="shared" si="25"/>
        <v>-25.144079999999999</v>
      </c>
      <c r="H22" s="22">
        <f t="shared" si="27"/>
        <v>1.3646762801485195</v>
      </c>
      <c r="J22" s="7" t="s">
        <v>163</v>
      </c>
      <c r="K22" s="9">
        <f t="shared" si="28"/>
        <v>-110.50362400000002</v>
      </c>
      <c r="L22" s="9">
        <f t="shared" si="29"/>
        <v>-102.13478719999999</v>
      </c>
      <c r="M22" s="9">
        <f t="shared" si="30"/>
        <v>-103.81382640000001</v>
      </c>
      <c r="N22" s="9">
        <f t="shared" si="31"/>
        <v>-96.931983200000005</v>
      </c>
      <c r="O22" s="9">
        <f t="shared" si="32"/>
        <v>-112.62993280000001</v>
      </c>
      <c r="P22" s="24" t="str">
        <f t="shared" si="33"/>
        <v>-105.20 ± 5.71</v>
      </c>
      <c r="Q22" s="22">
        <f t="shared" si="34"/>
        <v>5.7098055561414087</v>
      </c>
      <c r="S22" s="7" t="s">
        <v>163</v>
      </c>
      <c r="T22" s="9">
        <v>-31.922000000000001</v>
      </c>
      <c r="U22" s="9">
        <v>-32.9499</v>
      </c>
      <c r="V22" s="9">
        <v>-29.460799999999999</v>
      </c>
      <c r="W22" s="9">
        <v>-31.821000000000002</v>
      </c>
      <c r="X22" s="9">
        <v>-32.089100000000002</v>
      </c>
      <c r="Y22" s="12">
        <f t="shared" si="26"/>
        <v>-31.648559999999996</v>
      </c>
      <c r="Z22" s="22">
        <f t="shared" si="35"/>
        <v>1.1643332935203738</v>
      </c>
      <c r="AA22" s="22"/>
      <c r="AB22" s="7" t="s">
        <v>163</v>
      </c>
      <c r="AC22" s="9">
        <f t="shared" si="36"/>
        <v>-133.56164800000002</v>
      </c>
      <c r="AD22" s="9">
        <f t="shared" si="37"/>
        <v>-137.86238159999999</v>
      </c>
      <c r="AE22" s="9">
        <f t="shared" si="38"/>
        <v>-123.2639872</v>
      </c>
      <c r="AF22" s="9">
        <f t="shared" si="39"/>
        <v>-133.13906400000002</v>
      </c>
      <c r="AG22" s="9">
        <f t="shared" si="40"/>
        <v>-134.26079440000001</v>
      </c>
      <c r="AH22" s="24" t="str">
        <f t="shared" si="41"/>
        <v>-132.42 ± 4.87</v>
      </c>
      <c r="AI22" s="22">
        <f t="shared" si="42"/>
        <v>4.8715705000892413</v>
      </c>
      <c r="AJ22" s="22"/>
      <c r="AK22" s="7" t="s">
        <v>163</v>
      </c>
      <c r="AL22" s="9">
        <v>24.305800000000001</v>
      </c>
      <c r="AM22" s="9">
        <v>25.414200000000001</v>
      </c>
      <c r="AN22" s="9">
        <v>19.118300000000001</v>
      </c>
      <c r="AO22" s="9">
        <v>25.2559</v>
      </c>
      <c r="AP22" s="9">
        <v>26.939599999999999</v>
      </c>
      <c r="AQ22" s="12">
        <f t="shared" si="43"/>
        <v>24.206759999999999</v>
      </c>
      <c r="AR22" s="22">
        <f t="shared" si="44"/>
        <v>2.6806437529817706</v>
      </c>
      <c r="AT22" s="7" t="s">
        <v>163</v>
      </c>
      <c r="AU22" s="9">
        <f t="shared" si="45"/>
        <v>101.69546720000001</v>
      </c>
      <c r="AV22" s="9">
        <f t="shared" si="46"/>
        <v>106.33301280000001</v>
      </c>
      <c r="AW22" s="9">
        <f t="shared" si="47"/>
        <v>79.990967200000014</v>
      </c>
      <c r="AX22" s="9">
        <f t="shared" si="48"/>
        <v>105.67068560000001</v>
      </c>
      <c r="AY22" s="9">
        <f t="shared" si="49"/>
        <v>112.7152864</v>
      </c>
      <c r="AZ22" s="24" t="str">
        <f t="shared" si="50"/>
        <v>101.28 ± 11.22</v>
      </c>
      <c r="BA22" s="22">
        <f t="shared" si="51"/>
        <v>11.215813462475703</v>
      </c>
    </row>
    <row r="23" spans="1:53" ht="15.5" x14ac:dyDescent="0.35">
      <c r="A23" s="6" t="s">
        <v>157</v>
      </c>
      <c r="B23" s="9">
        <v>-32.7012</v>
      </c>
      <c r="C23" s="9">
        <v>-30.3902</v>
      </c>
      <c r="D23" s="9">
        <v>-33.382300000000001</v>
      </c>
      <c r="E23" s="9">
        <v>-29.238800000000001</v>
      </c>
      <c r="F23" s="9">
        <v>-32.371000000000002</v>
      </c>
      <c r="G23" s="12">
        <f t="shared" si="25"/>
        <v>-31.616700000000002</v>
      </c>
      <c r="H23" s="22">
        <f t="shared" si="27"/>
        <v>1.5505587870184092</v>
      </c>
      <c r="J23" s="6" t="s">
        <v>157</v>
      </c>
      <c r="K23" s="9">
        <f t="shared" si="28"/>
        <v>-136.82182080000001</v>
      </c>
      <c r="L23" s="9">
        <f t="shared" si="29"/>
        <v>-127.15259680000001</v>
      </c>
      <c r="M23" s="9">
        <f t="shared" si="30"/>
        <v>-139.6715432</v>
      </c>
      <c r="N23" s="9">
        <f t="shared" si="31"/>
        <v>-122.33513920000001</v>
      </c>
      <c r="O23" s="9">
        <f t="shared" si="32"/>
        <v>-135.44026400000001</v>
      </c>
      <c r="P23" s="24" t="str">
        <f t="shared" si="33"/>
        <v>-132.28 ± 6.49</v>
      </c>
      <c r="Q23" s="22">
        <f t="shared" si="34"/>
        <v>6.4875379648850204</v>
      </c>
      <c r="S23" s="6" t="s">
        <v>157</v>
      </c>
      <c r="T23" s="9">
        <v>-38.921799999999998</v>
      </c>
      <c r="U23" s="9">
        <v>-42.539200000000001</v>
      </c>
      <c r="V23" s="9">
        <v>-36.425800000000002</v>
      </c>
      <c r="W23" s="9">
        <v>-41.336799999999997</v>
      </c>
      <c r="X23" s="9">
        <v>-39.671599999999998</v>
      </c>
      <c r="Y23" s="12">
        <f t="shared" si="26"/>
        <v>-39.779039999999995</v>
      </c>
      <c r="Z23" s="22">
        <f t="shared" si="35"/>
        <v>2.099319971419316</v>
      </c>
      <c r="AA23" s="22"/>
      <c r="AB23" s="6" t="s">
        <v>157</v>
      </c>
      <c r="AC23" s="9">
        <f t="shared" si="36"/>
        <v>-162.8488112</v>
      </c>
      <c r="AD23" s="9">
        <f t="shared" si="37"/>
        <v>-177.98401280000002</v>
      </c>
      <c r="AE23" s="9">
        <f t="shared" si="38"/>
        <v>-152.40554720000003</v>
      </c>
      <c r="AF23" s="9">
        <f t="shared" si="39"/>
        <v>-172.95317119999999</v>
      </c>
      <c r="AG23" s="9">
        <f t="shared" si="40"/>
        <v>-165.9859744</v>
      </c>
      <c r="AH23" s="24" t="str">
        <f t="shared" si="41"/>
        <v>-166.44 ± 8.78</v>
      </c>
      <c r="AI23" s="22">
        <f t="shared" si="42"/>
        <v>8.7835547604184132</v>
      </c>
      <c r="AJ23" s="22"/>
      <c r="AK23" s="6" t="s">
        <v>157</v>
      </c>
      <c r="AL23" s="9">
        <v>13.3706</v>
      </c>
      <c r="AM23" s="9">
        <v>13.9815</v>
      </c>
      <c r="AN23" s="9">
        <v>6.9878999999999998</v>
      </c>
      <c r="AO23" s="9">
        <v>13.639699999999999</v>
      </c>
      <c r="AP23" s="9">
        <v>14.411199999999999</v>
      </c>
      <c r="AQ23" s="12">
        <f t="shared" si="43"/>
        <v>12.47818</v>
      </c>
      <c r="AR23" s="22">
        <f t="shared" si="44"/>
        <v>2.7671376542557446</v>
      </c>
      <c r="AT23" s="6" t="s">
        <v>157</v>
      </c>
      <c r="AU23" s="9">
        <f t="shared" si="45"/>
        <v>55.9425904</v>
      </c>
      <c r="AV23" s="9">
        <f t="shared" si="46"/>
        <v>58.498596000000006</v>
      </c>
      <c r="AW23" s="9">
        <f t="shared" si="47"/>
        <v>29.237373600000002</v>
      </c>
      <c r="AX23" s="9">
        <f t="shared" si="48"/>
        <v>57.068504799999999</v>
      </c>
      <c r="AY23" s="9">
        <f t="shared" si="49"/>
        <v>60.296460799999998</v>
      </c>
      <c r="AZ23" s="24" t="str">
        <f t="shared" si="50"/>
        <v>52.21 ± 11.58</v>
      </c>
      <c r="BA23" s="22">
        <f t="shared" si="51"/>
        <v>11.57770394540605</v>
      </c>
    </row>
    <row r="24" spans="1:53" ht="15.5" x14ac:dyDescent="0.35">
      <c r="A24" s="6" t="s">
        <v>158</v>
      </c>
      <c r="B24" s="21">
        <v>-15.66</v>
      </c>
      <c r="C24" s="21">
        <v>-14.78</v>
      </c>
      <c r="D24" s="21">
        <v>-12.13</v>
      </c>
      <c r="E24" s="21">
        <v>-14.21</v>
      </c>
      <c r="F24" s="21">
        <v>-13.84</v>
      </c>
      <c r="G24" s="13">
        <f t="shared" si="25"/>
        <v>-14.124000000000001</v>
      </c>
      <c r="H24" s="22">
        <f t="shared" si="27"/>
        <v>1.1707877689829183</v>
      </c>
      <c r="J24" s="6" t="s">
        <v>158</v>
      </c>
      <c r="K24" s="9">
        <f t="shared" si="28"/>
        <v>-65.521439999999998</v>
      </c>
      <c r="L24" s="9">
        <f t="shared" si="29"/>
        <v>-61.83952</v>
      </c>
      <c r="M24" s="9">
        <f t="shared" si="30"/>
        <v>-50.751920000000005</v>
      </c>
      <c r="N24" s="9">
        <f t="shared" si="31"/>
        <v>-59.454640000000005</v>
      </c>
      <c r="O24" s="9">
        <f t="shared" si="32"/>
        <v>-57.906559999999999</v>
      </c>
      <c r="P24" s="24" t="str">
        <f t="shared" si="33"/>
        <v>-59.09 ± 4.90</v>
      </c>
      <c r="Q24" s="22">
        <f t="shared" si="34"/>
        <v>4.8985760254245294</v>
      </c>
      <c r="S24" s="6" t="s">
        <v>158</v>
      </c>
      <c r="T24" s="20">
        <v>-26.581299999999999</v>
      </c>
      <c r="U24" s="20">
        <v>-28.5945</v>
      </c>
      <c r="V24" s="20">
        <v>-22.135300000000001</v>
      </c>
      <c r="W24" s="20">
        <v>-34.631399999999999</v>
      </c>
      <c r="X24" s="20">
        <v>-25.774899999999999</v>
      </c>
      <c r="Y24" s="12">
        <f t="shared" si="26"/>
        <v>-27.543479999999999</v>
      </c>
      <c r="Z24" s="22">
        <f t="shared" si="35"/>
        <v>4.1144946092564059</v>
      </c>
      <c r="AA24" s="22"/>
      <c r="AB24" s="6" t="s">
        <v>158</v>
      </c>
      <c r="AC24" s="9">
        <f t="shared" si="36"/>
        <v>-111.21615919999999</v>
      </c>
      <c r="AD24" s="9">
        <f t="shared" si="37"/>
        <v>-119.63938800000001</v>
      </c>
      <c r="AE24" s="9">
        <f t="shared" si="38"/>
        <v>-92.614095200000008</v>
      </c>
      <c r="AF24" s="9">
        <f t="shared" si="39"/>
        <v>-144.89777760000001</v>
      </c>
      <c r="AG24" s="9">
        <f t="shared" si="40"/>
        <v>-107.8421816</v>
      </c>
      <c r="AH24" s="24" t="str">
        <f t="shared" si="41"/>
        <v>-115.24 ± 17.22</v>
      </c>
      <c r="AI24" s="22">
        <f t="shared" si="42"/>
        <v>17.215045445128791</v>
      </c>
      <c r="AJ24" s="22"/>
      <c r="AK24" s="6" t="s">
        <v>158</v>
      </c>
      <c r="AL24" s="9">
        <v>27.1051</v>
      </c>
      <c r="AM24" s="9">
        <v>26.855</v>
      </c>
      <c r="AN24" s="9">
        <v>32.292000000000002</v>
      </c>
      <c r="AO24" s="9">
        <v>26.532599999999999</v>
      </c>
      <c r="AP24" s="9">
        <v>25.558399999999999</v>
      </c>
      <c r="AQ24" s="12">
        <f t="shared" si="43"/>
        <v>27.668619999999997</v>
      </c>
      <c r="AR24" s="22">
        <f t="shared" si="44"/>
        <v>2.3706009705557798</v>
      </c>
      <c r="AT24" s="6" t="s">
        <v>158</v>
      </c>
      <c r="AU24" s="9">
        <f t="shared" si="45"/>
        <v>113.4077384</v>
      </c>
      <c r="AV24" s="9">
        <f t="shared" si="46"/>
        <v>112.36132000000001</v>
      </c>
      <c r="AW24" s="9">
        <f t="shared" si="47"/>
        <v>135.10972800000002</v>
      </c>
      <c r="AX24" s="9">
        <f t="shared" si="48"/>
        <v>111.0123984</v>
      </c>
      <c r="AY24" s="9">
        <f t="shared" si="49"/>
        <v>106.9363456</v>
      </c>
      <c r="AZ24" s="24" t="str">
        <f t="shared" si="50"/>
        <v>115.77 ± 9.92</v>
      </c>
      <c r="BA24" s="22">
        <f t="shared" si="51"/>
        <v>9.9185944608053873</v>
      </c>
    </row>
    <row r="25" spans="1:53" ht="15.5" x14ac:dyDescent="0.35">
      <c r="A25" s="6" t="s">
        <v>164</v>
      </c>
      <c r="B25" s="10">
        <f t="shared" ref="B25:F25" si="52">AVERAGE(B17:B24)</f>
        <v>-28.094799999999999</v>
      </c>
      <c r="C25" s="10">
        <f t="shared" si="52"/>
        <v>-25.865724999999998</v>
      </c>
      <c r="D25" s="10">
        <f t="shared" si="52"/>
        <v>-28.026099999999992</v>
      </c>
      <c r="E25" s="11">
        <f t="shared" si="52"/>
        <v>-24.294625</v>
      </c>
      <c r="F25" s="10">
        <f t="shared" si="52"/>
        <v>-27.659162500000001</v>
      </c>
      <c r="G25" s="16">
        <f>AVERAGE(G17:G24)</f>
        <v>-26.788082500000002</v>
      </c>
      <c r="J25" s="6" t="s">
        <v>164</v>
      </c>
      <c r="K25" s="24" t="str">
        <f>TEXT(AVERAGE(K17:K24), "0.00") &amp; " ± " &amp; TEXT(_xlfn.STDEV.P(K15:K21), "0.00")</f>
        <v>-117.55 ± 16.23</v>
      </c>
      <c r="L25" s="24" t="str">
        <f>TEXT(AVERAGE(L17:L24), "0.00") &amp; " ± " &amp; TEXT(_xlfn.STDEV.P(L15:L21), "0.00")</f>
        <v>-108.22 ± 16.72</v>
      </c>
      <c r="M25" s="24" t="str">
        <f>TEXT(AVERAGE(M17:M24), "0.00") &amp; " ± " &amp; TEXT(_xlfn.STDEV.P(M15:M21), "0.00")</f>
        <v>-117.26 ± 16.31</v>
      </c>
      <c r="N25" s="24" t="str">
        <f>TEXT(AVERAGE(N17:N24), "0.00") &amp; " ± " &amp; TEXT(_xlfn.STDEV.P(N15:N21), "0.00")</f>
        <v>-101.65 ± 16.31</v>
      </c>
      <c r="O25" s="24" t="str">
        <f>TEXT(AVERAGE(O17:O24), "0.00") &amp; " ± " &amp; TEXT(_xlfn.STDEV.P(O15:O21), "0.00")</f>
        <v>-115.73 ± 15.45</v>
      </c>
      <c r="P25" s="16">
        <f>G25*4.184</f>
        <v>-112.08133718000001</v>
      </c>
      <c r="S25" s="6" t="s">
        <v>164</v>
      </c>
      <c r="T25" s="10">
        <f t="shared" ref="T25:X25" si="53">AVERAGE(T17:T24)</f>
        <v>-34.545574999999999</v>
      </c>
      <c r="U25" s="10">
        <f t="shared" si="53"/>
        <v>-36.261324999999999</v>
      </c>
      <c r="V25" s="10">
        <f t="shared" si="53"/>
        <v>-30.821562500000002</v>
      </c>
      <c r="W25" s="10">
        <f t="shared" si="53"/>
        <v>-35.620712499999996</v>
      </c>
      <c r="X25" s="10">
        <f t="shared" si="53"/>
        <v>-33.890412499999996</v>
      </c>
      <c r="Y25" s="14">
        <f>AVERAGE(Y17:Y24)</f>
        <v>-34.227917499999997</v>
      </c>
      <c r="AB25" s="6" t="s">
        <v>164</v>
      </c>
      <c r="AC25" s="24" t="str">
        <f>TEXT(AVERAGE(AC17:AC24), "0.00") &amp; " ± " &amp; TEXT(_xlfn.STDEV.P(AC15:AC21), "0.00")</f>
        <v>-144.54 ± 20.39</v>
      </c>
      <c r="AD25" s="24" t="str">
        <f>TEXT(AVERAGE(AD17:AD24), "0.00") &amp; " ± " &amp; TEXT(_xlfn.STDEV.P(AD15:AD21), "0.00")</f>
        <v>-151.72 ± 21.75</v>
      </c>
      <c r="AE25" s="24" t="str">
        <f>TEXT(AVERAGE(AE17:AE24), "0.00") &amp; " ± " &amp; TEXT(_xlfn.STDEV.P(AE15:AE21), "0.00")</f>
        <v>-128.96 ± 20.80</v>
      </c>
      <c r="AF25" s="24" t="str">
        <f>TEXT(AVERAGE(AF17:AF24), "0.00") &amp; " ± " &amp; TEXT(_xlfn.STDEV.P(AF15:AF21), "0.00")</f>
        <v>-149.04 ± 20.94</v>
      </c>
      <c r="AG25" s="24" t="str">
        <f>TEXT(AVERAGE(AG17:AG24), "0.00") &amp; " ± " &amp; TEXT(_xlfn.STDEV.P(AG15:AG21), "0.00")</f>
        <v>-141.80 ± 19.80</v>
      </c>
      <c r="AH25" s="16">
        <f>Y25*4.184</f>
        <v>-143.20960682</v>
      </c>
      <c r="AK25" s="6" t="s">
        <v>164</v>
      </c>
      <c r="AL25" s="10">
        <f>AVERAGE(AL17:AL24)</f>
        <v>20.793287499999998</v>
      </c>
      <c r="AM25" s="10">
        <f t="shared" ref="AM25" si="54">AVERAGE(AM17:AM24)</f>
        <v>21.598050000000001</v>
      </c>
      <c r="AN25" s="10">
        <f t="shared" ref="AN25" si="55">AVERAGE(AN17:AN24)</f>
        <v>17.476312499999999</v>
      </c>
      <c r="AO25" s="10">
        <f t="shared" ref="AO25" si="56">AVERAGE(AO17:AO24)</f>
        <v>21.381562500000001</v>
      </c>
      <c r="AP25" s="10">
        <f t="shared" ref="AP25" si="57">AVERAGE(AP17:AP24)</f>
        <v>21.928725</v>
      </c>
      <c r="AQ25" s="14">
        <f t="shared" si="43"/>
        <v>20.6355875</v>
      </c>
      <c r="AT25" s="6" t="s">
        <v>164</v>
      </c>
      <c r="AU25" s="24" t="str">
        <f>TEXT(AVERAGE(AU17:AU24), "0.00") &amp; " ± " &amp; TEXT(_xlfn.STDEV.P(AU17:AU24), "0.00")</f>
        <v>87.00 ± 36.63</v>
      </c>
      <c r="AV25" s="24" t="str">
        <f t="shared" ref="AV25" si="58">TEXT(AVERAGE(AV17:AV24), "0.00") &amp; " ± " &amp; TEXT(_xlfn.STDEV.P(AV17:AV24), "0.00")</f>
        <v>90.37 ± 38.26</v>
      </c>
      <c r="AW25" s="24" t="str">
        <f t="shared" ref="AW25" si="59">TEXT(AVERAGE(AW17:AW24), "0.00") &amp; " ± " &amp; TEXT(_xlfn.STDEV.P(AW17:AW24), "0.00")</f>
        <v>73.12 ± 35.65</v>
      </c>
      <c r="AX25" s="24" t="str">
        <f t="shared" ref="AX25" si="60">TEXT(AVERAGE(AX17:AX24), "0.00") &amp; " ± " &amp; TEXT(_xlfn.STDEV.P(AX17:AX24), "0.00")</f>
        <v>89.46 ± 38.05</v>
      </c>
      <c r="AY25" s="24" t="str">
        <f t="shared" ref="AY25" si="61">TEXT(AVERAGE(AY17:AY24), "0.00") &amp; " ± " &amp; TEXT(_xlfn.STDEV.P(AY17:AY24), "0.00")</f>
        <v>91.75 ± 38.93</v>
      </c>
      <c r="AZ25" s="24">
        <f>4.184*AQ25</f>
        <v>86.339298100000008</v>
      </c>
    </row>
    <row r="26" spans="1:53" ht="15.5" x14ac:dyDescent="0.35">
      <c r="A26" s="6" t="s">
        <v>173</v>
      </c>
      <c r="B26" s="9">
        <f>_xlfn.STDEV.P(B17:B24)</f>
        <v>5.8313163089477529</v>
      </c>
      <c r="C26" s="9">
        <f t="shared" ref="C26:F26" si="62">_xlfn.STDEV.P(C17:C24)</f>
        <v>5.4566679539234535</v>
      </c>
      <c r="D26" s="9">
        <f t="shared" si="62"/>
        <v>7.1198597445806744</v>
      </c>
      <c r="E26" s="9">
        <f t="shared" si="62"/>
        <v>5.1382702891513059</v>
      </c>
      <c r="F26" s="9">
        <f t="shared" si="62"/>
        <v>6.1372310095713098</v>
      </c>
      <c r="J26" s="6" t="s">
        <v>173</v>
      </c>
      <c r="K26" s="9">
        <f t="shared" si="28"/>
        <v>24.398227436637399</v>
      </c>
      <c r="L26" s="9">
        <f t="shared" si="29"/>
        <v>22.830698719215729</v>
      </c>
      <c r="M26" s="9">
        <f t="shared" si="30"/>
        <v>29.789493171325542</v>
      </c>
      <c r="N26" s="9">
        <f t="shared" si="31"/>
        <v>21.498522889809063</v>
      </c>
      <c r="O26" s="9">
        <f t="shared" si="32"/>
        <v>25.67817454404636</v>
      </c>
      <c r="S26" s="6" t="s">
        <v>173</v>
      </c>
      <c r="T26" s="9">
        <f>_xlfn.STDEV.P(T17:T24)</f>
        <v>5.1947349931805862</v>
      </c>
      <c r="U26" s="9">
        <f t="shared" ref="U26:X26" si="63">_xlfn.STDEV.P(U17:U24)</f>
        <v>5.575564499615739</v>
      </c>
      <c r="V26" s="9">
        <f t="shared" si="63"/>
        <v>5.4340202410226253</v>
      </c>
      <c r="W26" s="9">
        <f t="shared" si="63"/>
        <v>4.6562714054374057</v>
      </c>
      <c r="X26" s="9">
        <f t="shared" si="63"/>
        <v>5.2191030497197373</v>
      </c>
      <c r="Y26" s="5"/>
      <c r="AB26" s="6" t="s">
        <v>173</v>
      </c>
      <c r="AC26" s="9">
        <f>_xlfn.STDEV.P(AC17:AC24)</f>
        <v>21.734771211467788</v>
      </c>
      <c r="AD26" s="9">
        <f t="shared" si="37"/>
        <v>23.328161866392254</v>
      </c>
      <c r="AE26" s="9">
        <f t="shared" ref="AE26:AG26" si="64">_xlfn.STDEV.P(AE17:AE24)</f>
        <v>22.73594068843882</v>
      </c>
      <c r="AF26" s="9">
        <f t="shared" si="64"/>
        <v>19.481839560349815</v>
      </c>
      <c r="AG26" s="9">
        <f t="shared" si="64"/>
        <v>21.836727160027475</v>
      </c>
      <c r="AH26" s="5"/>
      <c r="AK26" s="6" t="s">
        <v>173</v>
      </c>
      <c r="AL26" s="9">
        <f>_xlfn.STDEV.P(AL17:AL24)</f>
        <v>8.7551932624924884</v>
      </c>
      <c r="AM26" s="9">
        <f t="shared" ref="AM26:AP26" si="65">_xlfn.STDEV.P(AM17:AM24)</f>
        <v>9.1451956084875494</v>
      </c>
      <c r="AN26" s="9">
        <f t="shared" si="65"/>
        <v>8.5195763632116055</v>
      </c>
      <c r="AO26" s="9">
        <f t="shared" si="65"/>
        <v>9.0944361152764017</v>
      </c>
      <c r="AP26" s="9">
        <f t="shared" si="65"/>
        <v>9.3048851219063984</v>
      </c>
      <c r="AT26" s="6" t="s">
        <v>175</v>
      </c>
      <c r="AU26" s="24" t="str">
        <f>TEXT(AVERAGE(AU16:AU22), "0.00") &amp; " ± " &amp; TEXT(_xlfn.STDEV.P(AU16:AU22), "0.00")</f>
        <v>87.77 ± 38.88</v>
      </c>
      <c r="AV26" s="24" t="str">
        <f t="shared" ref="AV26:AY26" si="66">TEXT(AVERAGE(AV16:AV22), "0.00") &amp; " ± " &amp; TEXT(_xlfn.STDEV.P(AV16:AV22), "0.00")</f>
        <v>92.01 ± 41.23</v>
      </c>
      <c r="AW26" s="24" t="str">
        <f t="shared" si="66"/>
        <v>70.10 ± 26.90</v>
      </c>
      <c r="AX26" s="24" t="str">
        <f t="shared" si="66"/>
        <v>91.27 ± 40.93</v>
      </c>
      <c r="AY26" s="24" t="str">
        <f t="shared" si="66"/>
        <v>94.46 ± 42.55</v>
      </c>
      <c r="AZ26" s="24">
        <f>4.184*AQ26</f>
        <v>0</v>
      </c>
    </row>
    <row r="27" spans="1:53" ht="15.5" x14ac:dyDescent="0.35">
      <c r="A27" s="6" t="s">
        <v>174</v>
      </c>
      <c r="B27" s="24" t="str">
        <f>TEXT(AVERAGE(B17:B23), "0.00") &amp; " ± " &amp; TEXT(_xlfn.STDEV.P(B17:B23), "0.00")</f>
        <v>-29.87 ± 3.69</v>
      </c>
      <c r="C27" s="24" t="str">
        <f t="shared" ref="C27:F27" si="67">TEXT(AVERAGE(C17:C23), "0.00") &amp; " ± " &amp; TEXT(_xlfn.STDEV.P(C17:C23), "0.00")</f>
        <v>-27.45 ± 3.74</v>
      </c>
      <c r="D27" s="24" t="str">
        <f t="shared" si="67"/>
        <v>-30.30 ± 4.08</v>
      </c>
      <c r="E27" s="24" t="str">
        <f t="shared" si="67"/>
        <v>-25.74 ± 3.68</v>
      </c>
      <c r="F27" s="24" t="str">
        <f t="shared" si="67"/>
        <v>-29.63 ± 3.44</v>
      </c>
      <c r="G27" s="2">
        <f>AVERAGE(G17:G23)</f>
        <v>-28.597237142857146</v>
      </c>
      <c r="J27" s="6" t="s">
        <v>174</v>
      </c>
      <c r="K27" s="24" t="str">
        <f>TEXT(AVERAGE(K17:K23), "0.00") &amp; " ± " &amp; TEXT(_xlfn.STDEV.P(K17:K23), "0.00")</f>
        <v>-124.98 ± 15.44</v>
      </c>
      <c r="L27" s="24" t="str">
        <f t="shared" ref="L27:O27" si="68">TEXT(AVERAGE(L17:L23), "0.00") &amp; " ± " &amp; TEXT(_xlfn.STDEV.P(L17:L23), "0.00")</f>
        <v>-114.85 ± 15.64</v>
      </c>
      <c r="M27" s="24" t="str">
        <f t="shared" si="68"/>
        <v>-126.76 ± 17.09</v>
      </c>
      <c r="N27" s="24" t="str">
        <f t="shared" si="68"/>
        <v>-107.68 ± 15.41</v>
      </c>
      <c r="O27" s="24" t="str">
        <f t="shared" si="68"/>
        <v>-123.99 ± 14.41</v>
      </c>
      <c r="P27" s="16">
        <f>G27*4.184</f>
        <v>-119.6508402057143</v>
      </c>
      <c r="S27" s="6"/>
      <c r="T27" s="24" t="str">
        <f>TEXT(AVERAGE(T17:T23), "0.00") &amp; " ± " &amp; TEXT(_xlfn.STDEV.P(T17:T23), "0.00")</f>
        <v>-35.68 ± 4.53</v>
      </c>
      <c r="U27" s="24" t="str">
        <f t="shared" ref="U27:X27" si="69">TEXT(AVERAGE(U17:U23), "0.00") &amp; " ± " &amp; TEXT(_xlfn.STDEV.P(U17:U23), "0.00")</f>
        <v>-37.36 ± 5.09</v>
      </c>
      <c r="V27" s="24" t="str">
        <f t="shared" si="69"/>
        <v>-32.06 ± 4.63</v>
      </c>
      <c r="W27" s="24" t="str">
        <f t="shared" si="69"/>
        <v>-35.76 ± 4.96</v>
      </c>
      <c r="X27" s="24" t="str">
        <f t="shared" si="69"/>
        <v>-35.05 ± 4.51</v>
      </c>
      <c r="Y27" s="2">
        <f>AVERAGE(Y17:Y23)</f>
        <v>-35.182837142857139</v>
      </c>
      <c r="AB27" s="6"/>
      <c r="AC27" s="24" t="str">
        <f>TEXT(AVERAGE(AC17:AC23), "0.00") &amp; " ± " &amp; TEXT(_xlfn.STDEV.P(AC17:AC23), "0.00")</f>
        <v>-149.30 ± 18.94</v>
      </c>
      <c r="AD27" s="24" t="str">
        <f t="shared" ref="AD27:AG27" si="70">TEXT(AVERAGE(AD17:AD23), "0.00") &amp; " ± " &amp; TEXT(_xlfn.STDEV.P(AD17:AD23), "0.00")</f>
        <v>-156.30 ± 21.31</v>
      </c>
      <c r="AE27" s="24" t="str">
        <f t="shared" si="70"/>
        <v>-134.15 ± 19.37</v>
      </c>
      <c r="AF27" s="24" t="str">
        <f t="shared" si="70"/>
        <v>-149.63 ± 20.76</v>
      </c>
      <c r="AG27" s="24" t="str">
        <f t="shared" si="70"/>
        <v>-146.65 ± 18.89</v>
      </c>
      <c r="AH27" s="16">
        <f>Y27*4.184</f>
        <v>-147.20499060571427</v>
      </c>
      <c r="AK27" s="6"/>
      <c r="AL27" s="9"/>
      <c r="AM27" s="9"/>
      <c r="AN27" s="9"/>
      <c r="AO27" s="9"/>
      <c r="AP27" s="9"/>
    </row>
    <row r="28" spans="1:53" x14ac:dyDescent="0.35">
      <c r="T28" s="2"/>
      <c r="U28" s="2"/>
      <c r="V28" s="2"/>
      <c r="W28" s="2"/>
      <c r="X28" s="2"/>
      <c r="Y28" s="4"/>
      <c r="AL28" s="2"/>
      <c r="AM28" s="2"/>
      <c r="AN28" s="2"/>
      <c r="AO28" s="2"/>
      <c r="AP28" s="2"/>
    </row>
    <row r="29" spans="1:53" ht="15.5" x14ac:dyDescent="0.35">
      <c r="A29" s="6" t="s">
        <v>167</v>
      </c>
      <c r="B29" s="15" t="s">
        <v>152</v>
      </c>
      <c r="C29" s="15" t="s">
        <v>155</v>
      </c>
      <c r="D29" s="15" t="s">
        <v>153</v>
      </c>
      <c r="E29" s="15" t="s">
        <v>156</v>
      </c>
      <c r="F29" s="15" t="s">
        <v>154</v>
      </c>
      <c r="G29" s="15" t="s">
        <v>164</v>
      </c>
      <c r="H29" s="23" t="s">
        <v>173</v>
      </c>
      <c r="S29" s="6" t="s">
        <v>167</v>
      </c>
      <c r="T29" s="15" t="s">
        <v>152</v>
      </c>
      <c r="U29" s="15" t="s">
        <v>155</v>
      </c>
      <c r="V29" s="15" t="s">
        <v>153</v>
      </c>
      <c r="W29" s="15" t="s">
        <v>156</v>
      </c>
      <c r="X29" s="15" t="s">
        <v>154</v>
      </c>
      <c r="Y29" s="15" t="s">
        <v>164</v>
      </c>
      <c r="Z29" s="23" t="s">
        <v>173</v>
      </c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53" ht="18.5" x14ac:dyDescent="0.35">
      <c r="A30" s="6" t="s">
        <v>159</v>
      </c>
      <c r="B30" s="9">
        <v>0.84986600000000001</v>
      </c>
      <c r="C30" s="9">
        <v>0.81362100000000004</v>
      </c>
      <c r="D30" s="9">
        <v>0.799238</v>
      </c>
      <c r="E30" s="27">
        <v>0.85274099999999997</v>
      </c>
      <c r="F30" s="25">
        <v>0.86168500000000003</v>
      </c>
      <c r="G30" s="13">
        <f t="shared" ref="G30:G37" si="71">AVERAGE(B30:F30)</f>
        <v>0.83543020000000001</v>
      </c>
      <c r="H30" s="22">
        <f>_xlfn.STDEV.P(B30:F30)</f>
        <v>2.4424934746279259E-2</v>
      </c>
      <c r="S30" s="6" t="s">
        <v>159</v>
      </c>
      <c r="T30" s="9">
        <v>0.87906799999999996</v>
      </c>
      <c r="U30" s="9">
        <v>0.87748999999999999</v>
      </c>
      <c r="V30" s="9">
        <v>0.874386</v>
      </c>
      <c r="W30" s="17">
        <v>0.88078999999999996</v>
      </c>
      <c r="X30" s="26">
        <v>0.88086100000000001</v>
      </c>
      <c r="Y30" s="13">
        <f t="shared" ref="Y30:Y37" si="72">AVERAGE(T30:X30)</f>
        <v>0.87851900000000005</v>
      </c>
      <c r="Z30" s="22">
        <f>_xlfn.STDEV.P(T30:X30)</f>
        <v>2.411818235273954E-3</v>
      </c>
      <c r="AA30" s="22"/>
      <c r="AB30" s="22"/>
      <c r="AC30" s="22"/>
      <c r="AD30" s="22"/>
      <c r="AE30" s="22"/>
      <c r="AF30" s="22"/>
      <c r="AG30" s="22"/>
      <c r="AH30" s="22"/>
      <c r="AI30" s="2"/>
      <c r="AJ30" s="2"/>
    </row>
    <row r="31" spans="1:53" ht="18.5" x14ac:dyDescent="0.35">
      <c r="A31" s="7" t="s">
        <v>160</v>
      </c>
      <c r="B31" s="9">
        <v>0.81831799999999999</v>
      </c>
      <c r="C31" s="9">
        <v>0.77319499999999997</v>
      </c>
      <c r="D31" s="9">
        <v>0.77028799999999997</v>
      </c>
      <c r="E31" s="9">
        <v>0.81798199999999999</v>
      </c>
      <c r="F31" s="9">
        <v>0.82197399999999998</v>
      </c>
      <c r="G31" s="12">
        <f t="shared" si="71"/>
        <v>0.80035139999999994</v>
      </c>
      <c r="H31" s="22">
        <f t="shared" ref="H31:H37" si="73">_xlfn.STDEV.P(B31:F31)</f>
        <v>2.3419870551307502E-2</v>
      </c>
      <c r="S31" s="7" t="s">
        <v>160</v>
      </c>
      <c r="T31" s="9">
        <v>0.85788900000000001</v>
      </c>
      <c r="U31" s="9">
        <v>0.85724199999999995</v>
      </c>
      <c r="V31" s="9">
        <v>0.86059300000000005</v>
      </c>
      <c r="W31" s="17">
        <v>0.85949900000000001</v>
      </c>
      <c r="X31" s="17">
        <v>0.85470500000000005</v>
      </c>
      <c r="Y31" s="12">
        <f t="shared" si="72"/>
        <v>0.8579855999999999</v>
      </c>
      <c r="Z31" s="22">
        <f t="shared" ref="Z31:Z37" si="74">_xlfn.STDEV.P(T31:X31)</f>
        <v>2.0205703749189272E-3</v>
      </c>
      <c r="AA31" s="22"/>
      <c r="AB31" s="22"/>
      <c r="AC31" s="22"/>
      <c r="AD31" s="22"/>
      <c r="AE31" s="22"/>
      <c r="AF31" s="22"/>
      <c r="AG31" s="22"/>
      <c r="AH31" s="22"/>
      <c r="AI31" s="2"/>
      <c r="AJ31" s="2"/>
    </row>
    <row r="32" spans="1:53" ht="18.5" x14ac:dyDescent="0.35">
      <c r="A32" s="7" t="s">
        <v>161</v>
      </c>
      <c r="B32" s="9">
        <v>0.80981300000000001</v>
      </c>
      <c r="C32" s="9">
        <v>0.763687</v>
      </c>
      <c r="D32" s="9">
        <v>0.76905000000000001</v>
      </c>
      <c r="E32" s="9">
        <v>0.80813400000000002</v>
      </c>
      <c r="F32" s="9">
        <v>0.81387500000000002</v>
      </c>
      <c r="G32" s="12">
        <f t="shared" si="71"/>
        <v>0.79291179999999994</v>
      </c>
      <c r="H32" s="22">
        <f t="shared" si="73"/>
        <v>2.1818781463683993E-2</v>
      </c>
      <c r="S32" s="7" t="s">
        <v>161</v>
      </c>
      <c r="T32" s="9">
        <v>0.848634</v>
      </c>
      <c r="U32" s="9">
        <v>0.84707500000000002</v>
      </c>
      <c r="V32" s="9">
        <v>0.85269600000000001</v>
      </c>
      <c r="W32" s="9">
        <v>0.84780199999999994</v>
      </c>
      <c r="X32" s="9">
        <v>0.84400500000000001</v>
      </c>
      <c r="Y32" s="12">
        <f t="shared" si="72"/>
        <v>0.84804239999999997</v>
      </c>
      <c r="Z32" s="22">
        <f t="shared" si="74"/>
        <v>2.80357761440628E-3</v>
      </c>
      <c r="AA32" s="22"/>
      <c r="AB32" s="22"/>
      <c r="AC32" s="22"/>
      <c r="AD32" s="22"/>
      <c r="AE32" s="22"/>
      <c r="AF32" s="22"/>
      <c r="AG32" s="22"/>
      <c r="AH32" s="22"/>
      <c r="AI32" s="2"/>
      <c r="AJ32" s="2"/>
    </row>
    <row r="33" spans="1:36" ht="15.5" x14ac:dyDescent="0.35">
      <c r="A33" s="8" t="s">
        <v>151</v>
      </c>
      <c r="B33" s="9">
        <v>0.84836599999999995</v>
      </c>
      <c r="C33" s="9">
        <v>0.81262400000000001</v>
      </c>
      <c r="D33" s="9">
        <v>0.81208499999999995</v>
      </c>
      <c r="E33" s="27">
        <v>0.85097199999999995</v>
      </c>
      <c r="F33" s="27">
        <v>0.85556200000000004</v>
      </c>
      <c r="G33" s="12">
        <f t="shared" si="71"/>
        <v>0.83592180000000005</v>
      </c>
      <c r="H33" s="22">
        <f t="shared" si="73"/>
        <v>1.9380839036532968E-2</v>
      </c>
      <c r="S33" s="8" t="s">
        <v>151</v>
      </c>
      <c r="T33" s="9">
        <v>0.869475</v>
      </c>
      <c r="U33" s="9">
        <v>0.86889000000000005</v>
      </c>
      <c r="V33" s="9">
        <v>0.85126500000000005</v>
      </c>
      <c r="W33" s="9">
        <v>0.87622699999999998</v>
      </c>
      <c r="X33" s="9">
        <v>0.87310399999999999</v>
      </c>
      <c r="Y33" s="12">
        <f t="shared" si="72"/>
        <v>0.86779220000000001</v>
      </c>
      <c r="Z33" s="22">
        <f t="shared" si="74"/>
        <v>8.6780918501707278E-3</v>
      </c>
      <c r="AA33" s="22"/>
      <c r="AB33" s="22"/>
      <c r="AC33" s="22"/>
      <c r="AD33" s="22"/>
      <c r="AE33" s="22"/>
      <c r="AF33" s="22"/>
      <c r="AG33" s="22"/>
      <c r="AH33" s="22"/>
      <c r="AI33" s="2"/>
      <c r="AJ33" s="2"/>
    </row>
    <row r="34" spans="1:36" ht="15.5" x14ac:dyDescent="0.35">
      <c r="A34" s="7" t="s">
        <v>162</v>
      </c>
      <c r="B34" s="9">
        <v>0.80945699999999998</v>
      </c>
      <c r="C34" s="9">
        <v>0.783582</v>
      </c>
      <c r="D34" s="9">
        <v>0.74432900000000002</v>
      </c>
      <c r="E34" s="9">
        <v>0.82832300000000003</v>
      </c>
      <c r="F34" s="9">
        <v>0.81405400000000006</v>
      </c>
      <c r="G34" s="12">
        <f t="shared" si="71"/>
        <v>0.79594900000000002</v>
      </c>
      <c r="H34" s="22">
        <f t="shared" si="73"/>
        <v>2.9583441496891471E-2</v>
      </c>
      <c r="S34" s="7" t="s">
        <v>162</v>
      </c>
      <c r="T34" s="9">
        <v>0.84726000000000001</v>
      </c>
      <c r="U34" s="9">
        <v>0.85104100000000005</v>
      </c>
      <c r="V34" s="9">
        <v>0.85057300000000002</v>
      </c>
      <c r="W34" s="9">
        <v>0.85792500000000005</v>
      </c>
      <c r="X34" s="9">
        <v>0.84970000000000001</v>
      </c>
      <c r="Y34" s="12">
        <f t="shared" si="72"/>
        <v>0.85129980000000016</v>
      </c>
      <c r="Z34" s="22">
        <f t="shared" si="74"/>
        <v>3.55999535954755E-3</v>
      </c>
      <c r="AA34" s="22"/>
      <c r="AB34" s="22"/>
      <c r="AC34" s="22"/>
      <c r="AD34" s="22"/>
      <c r="AE34" s="22"/>
      <c r="AF34" s="22"/>
      <c r="AG34" s="22"/>
      <c r="AH34" s="22"/>
      <c r="AI34" s="2"/>
      <c r="AJ34" s="2"/>
    </row>
    <row r="35" spans="1:36" ht="15.5" x14ac:dyDescent="0.35">
      <c r="A35" s="7" t="s">
        <v>163</v>
      </c>
      <c r="B35" s="30">
        <v>0.82883600000000002</v>
      </c>
      <c r="C35" s="30">
        <v>0.79600499999999996</v>
      </c>
      <c r="D35" s="30">
        <v>0.79339999999999999</v>
      </c>
      <c r="E35" s="30">
        <v>0.76885499999999996</v>
      </c>
      <c r="F35" s="30">
        <v>0.83872500000000005</v>
      </c>
      <c r="G35" s="31">
        <f t="shared" si="71"/>
        <v>0.80516419999999989</v>
      </c>
      <c r="H35" s="32">
        <f t="shared" si="73"/>
        <v>2.5406010166100494E-2</v>
      </c>
      <c r="S35" s="7" t="s">
        <v>163</v>
      </c>
      <c r="T35" s="9">
        <v>0.84012799999999999</v>
      </c>
      <c r="U35" s="9">
        <v>0.83354799999999996</v>
      </c>
      <c r="V35" s="9">
        <v>0.85077100000000005</v>
      </c>
      <c r="W35" s="9">
        <v>0.84805699999999995</v>
      </c>
      <c r="X35" s="9">
        <v>0.85404000000000002</v>
      </c>
      <c r="Y35" s="12">
        <f t="shared" si="72"/>
        <v>0.84530879999999997</v>
      </c>
      <c r="Z35" s="22">
        <f t="shared" si="74"/>
        <v>7.4669832034095522E-3</v>
      </c>
      <c r="AA35" s="22"/>
      <c r="AB35" s="22"/>
      <c r="AC35" s="22"/>
      <c r="AD35" s="22"/>
      <c r="AE35" s="22"/>
      <c r="AF35" s="22"/>
      <c r="AG35" s="22"/>
      <c r="AH35" s="22"/>
      <c r="AI35" s="2"/>
      <c r="AJ35" s="2"/>
    </row>
    <row r="36" spans="1:36" ht="15.5" x14ac:dyDescent="0.35">
      <c r="A36" s="6" t="s">
        <v>157</v>
      </c>
      <c r="B36" s="9">
        <v>0.81189699999999998</v>
      </c>
      <c r="C36" s="9">
        <v>0.75110399999999999</v>
      </c>
      <c r="D36" s="9">
        <v>0.72248199999999996</v>
      </c>
      <c r="E36" s="9">
        <v>0.80271800000000004</v>
      </c>
      <c r="F36" s="9">
        <v>0.84104900000000005</v>
      </c>
      <c r="G36" s="12">
        <f t="shared" si="71"/>
        <v>0.78584999999999994</v>
      </c>
      <c r="H36" s="22">
        <f t="shared" si="73"/>
        <v>4.2971369943254109E-2</v>
      </c>
      <c r="S36" s="6" t="s">
        <v>157</v>
      </c>
      <c r="T36" s="9">
        <v>0.86183799999999999</v>
      </c>
      <c r="U36" s="9">
        <v>0.84931500000000004</v>
      </c>
      <c r="V36" s="9">
        <v>0.85026400000000002</v>
      </c>
      <c r="W36" s="9">
        <v>0.85074399999999994</v>
      </c>
      <c r="X36" s="9">
        <v>0.86030300000000004</v>
      </c>
      <c r="Y36" s="12">
        <f t="shared" si="72"/>
        <v>0.85449280000000005</v>
      </c>
      <c r="Z36" s="22">
        <f t="shared" si="74"/>
        <v>5.4121391482481341E-3</v>
      </c>
      <c r="AA36" s="22"/>
      <c r="AB36" s="22"/>
      <c r="AC36" s="22"/>
      <c r="AD36" s="22"/>
      <c r="AE36" s="22"/>
      <c r="AF36" s="22"/>
      <c r="AG36" s="22"/>
      <c r="AH36" s="22"/>
      <c r="AI36" s="2"/>
      <c r="AJ36" s="2"/>
    </row>
    <row r="37" spans="1:36" ht="15.5" x14ac:dyDescent="0.35">
      <c r="A37" s="6" t="s">
        <v>158</v>
      </c>
      <c r="B37" s="9">
        <v>0.49634899999999998</v>
      </c>
      <c r="C37" s="9">
        <v>0.44867800000000002</v>
      </c>
      <c r="D37" s="9">
        <v>0.48640800000000001</v>
      </c>
      <c r="E37" s="9">
        <v>0.53954299999999999</v>
      </c>
      <c r="F37" s="9">
        <v>0.52536499999999997</v>
      </c>
      <c r="G37" s="12">
        <f t="shared" si="71"/>
        <v>0.49926860000000001</v>
      </c>
      <c r="H37" s="22">
        <f t="shared" si="73"/>
        <v>3.1737603227717105E-2</v>
      </c>
      <c r="S37" s="6" t="s">
        <v>158</v>
      </c>
      <c r="T37" s="20">
        <v>0.50128099999999998</v>
      </c>
      <c r="U37" s="20">
        <v>0.46617199999999998</v>
      </c>
      <c r="V37" s="20">
        <v>0.52937699999999999</v>
      </c>
      <c r="W37" s="20">
        <v>0.41734199999999999</v>
      </c>
      <c r="X37" s="20">
        <v>0.52380199999999999</v>
      </c>
      <c r="Y37" s="12">
        <f t="shared" si="72"/>
        <v>0.48759479999999994</v>
      </c>
      <c r="Z37" s="22">
        <f t="shared" si="74"/>
        <v>4.1565413282680104E-2</v>
      </c>
      <c r="AA37" s="22"/>
      <c r="AB37" s="22"/>
      <c r="AC37" s="22"/>
      <c r="AD37" s="22"/>
      <c r="AE37" s="22"/>
      <c r="AF37" s="22"/>
      <c r="AG37" s="22"/>
      <c r="AH37" s="22"/>
      <c r="AI37" s="2"/>
      <c r="AJ37" s="2"/>
    </row>
    <row r="38" spans="1:36" ht="15.5" x14ac:dyDescent="0.35">
      <c r="A38" s="6" t="s">
        <v>164</v>
      </c>
      <c r="B38" s="10">
        <f t="shared" ref="B38:F38" si="75">AVERAGE(B30:B37)</f>
        <v>0.78411275000000002</v>
      </c>
      <c r="C38" s="10">
        <f t="shared" si="75"/>
        <v>0.74281199999999992</v>
      </c>
      <c r="D38" s="10">
        <f t="shared" si="75"/>
        <v>0.73715999999999993</v>
      </c>
      <c r="E38" s="10">
        <f t="shared" si="75"/>
        <v>0.78365850000000004</v>
      </c>
      <c r="F38" s="11">
        <f t="shared" si="75"/>
        <v>0.79653612499999993</v>
      </c>
      <c r="G38" s="16">
        <f>AVERAGE(G30:G37)</f>
        <v>0.76885587499999997</v>
      </c>
      <c r="S38" s="6" t="s">
        <v>164</v>
      </c>
      <c r="T38" s="10">
        <f t="shared" ref="T38:X38" si="76">AVERAGE(T30:T37)</f>
        <v>0.8131966249999999</v>
      </c>
      <c r="U38" s="10">
        <f t="shared" si="76"/>
        <v>0.80634662500000009</v>
      </c>
      <c r="V38" s="10">
        <f t="shared" si="76"/>
        <v>0.81499062500000008</v>
      </c>
      <c r="W38" s="10">
        <f t="shared" si="76"/>
        <v>0.80479824999999994</v>
      </c>
      <c r="X38" s="10">
        <f t="shared" si="76"/>
        <v>0.8175650000000001</v>
      </c>
      <c r="Y38" s="14">
        <f>AVERAGE(Y30:Y37)</f>
        <v>0.81137942500000004</v>
      </c>
    </row>
    <row r="39" spans="1:36" ht="15.5" x14ac:dyDescent="0.35">
      <c r="A39" s="6" t="s">
        <v>173</v>
      </c>
      <c r="B39" s="9">
        <f>_xlfn.STDEV.P(B30:B37)</f>
        <v>0.10983220865227805</v>
      </c>
      <c r="C39" s="9">
        <f t="shared" ref="C39:F39" si="77">_xlfn.STDEV.P(C30:C37)</f>
        <v>0.11309386450422552</v>
      </c>
      <c r="D39" s="9">
        <f t="shared" si="77"/>
        <v>9.8671305062566536E-2</v>
      </c>
      <c r="E39" s="9">
        <f t="shared" si="77"/>
        <v>9.5688527848170113E-2</v>
      </c>
      <c r="F39" s="9">
        <f t="shared" si="77"/>
        <v>0.10384971358703703</v>
      </c>
      <c r="S39" s="6" t="s">
        <v>173</v>
      </c>
      <c r="T39" s="9">
        <f>_xlfn.STDEV.P(T30:T37)</f>
        <v>0.11848125507009361</v>
      </c>
      <c r="U39" s="9">
        <f t="shared" ref="U39:X39" si="78">_xlfn.STDEV.P(U30:U37)</f>
        <v>0.12919208179677302</v>
      </c>
      <c r="V39" s="9">
        <f t="shared" si="78"/>
        <v>0.10823042962695081</v>
      </c>
      <c r="W39" s="9">
        <f t="shared" si="78"/>
        <v>0.14690364000914855</v>
      </c>
      <c r="X39" s="9">
        <f t="shared" si="78"/>
        <v>0.11161078464915379</v>
      </c>
    </row>
    <row r="40" spans="1:36" ht="15.5" x14ac:dyDescent="0.35">
      <c r="A40" s="6" t="s">
        <v>174</v>
      </c>
      <c r="B40" s="24" t="str">
        <f>TEXT(AVERAGE(B30:B36), "0.00") &amp; " ± " &amp; TEXT(_xlfn.STDEV.P(B30:B36), "0.00")</f>
        <v>0.83 ± 0.02</v>
      </c>
      <c r="C40" s="24" t="str">
        <f t="shared" ref="C40:F40" si="79">TEXT(AVERAGE(C30:C36), "0.00") &amp; " ± " &amp; TEXT(_xlfn.STDEV.P(C30:C36), "0.00")</f>
        <v>0.78 ± 0.02</v>
      </c>
      <c r="D40" s="24" t="str">
        <f t="shared" si="79"/>
        <v>0.77 ± 0.03</v>
      </c>
      <c r="E40" s="24" t="str">
        <f t="shared" si="79"/>
        <v>0.82 ± 0.03</v>
      </c>
      <c r="F40" s="24" t="str">
        <f t="shared" si="79"/>
        <v>0.84 ± 0.02</v>
      </c>
      <c r="G40" s="2">
        <f>AVERAGE(G30:G36)</f>
        <v>0.80736834285714287</v>
      </c>
      <c r="T40" s="24" t="str">
        <f>TEXT(AVERAGE(T30:T36), "0.00") &amp; " ± " &amp; TEXT(_xlfn.STDEV.P(T30:T36), "0.00")</f>
        <v>0.86 ± 0.01</v>
      </c>
      <c r="U40" s="24" t="str">
        <f t="shared" ref="U40:X40" si="80">TEXT(AVERAGE(U30:U36), "0.00") &amp; " ± " &amp; TEXT(_xlfn.STDEV.P(U30:U36), "0.00")</f>
        <v>0.85 ± 0.01</v>
      </c>
      <c r="V40" s="24" t="str">
        <f t="shared" si="80"/>
        <v>0.86 ± 0.01</v>
      </c>
      <c r="W40" s="24" t="str">
        <f t="shared" si="80"/>
        <v>0.86 ± 0.01</v>
      </c>
      <c r="X40" s="24" t="str">
        <f t="shared" si="80"/>
        <v>0.86 ± 0.01</v>
      </c>
      <c r="Y40" s="2">
        <f>AVERAGE(Y30:Y36)</f>
        <v>0.85763437142857146</v>
      </c>
    </row>
    <row r="41" spans="1:36" x14ac:dyDescent="0.35">
      <c r="W41" s="28">
        <f>AVERAGE(W30:W36)</f>
        <v>0.86014914285714283</v>
      </c>
      <c r="X41" s="28">
        <f>AVERAGE(X30:X36)</f>
        <v>0.85953114285714294</v>
      </c>
    </row>
  </sheetData>
  <conditionalFormatting sqref="B4:F11">
    <cfRule type="top10" dxfId="7" priority="7" rank="1"/>
  </conditionalFormatting>
  <conditionalFormatting sqref="B30:F37">
    <cfRule type="top10" dxfId="6" priority="8" rank="1"/>
  </conditionalFormatting>
  <conditionalFormatting sqref="T4:X11">
    <cfRule type="top10" dxfId="5" priority="6" rank="1"/>
  </conditionalFormatting>
  <conditionalFormatting sqref="T30:X37">
    <cfRule type="top10" dxfId="4" priority="5" rank="1"/>
  </conditionalFormatting>
  <conditionalFormatting sqref="AL4:AP11">
    <cfRule type="top10" dxfId="3" priority="4" bottom="1" rank="3"/>
  </conditionalFormatting>
  <conditionalFormatting sqref="AL17:AP24">
    <cfRule type="top10" dxfId="2" priority="3" bottom="1" rank="3"/>
  </conditionalFormatting>
  <conditionalFormatting sqref="AU4:AY11">
    <cfRule type="top10" dxfId="1" priority="2" bottom="1" rank="3"/>
  </conditionalFormatting>
  <conditionalFormatting sqref="AU17:AY24">
    <cfRule type="top10" dxfId="0" priority="1" bottom="1" rank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SET1-OL21</vt:lpstr>
      <vt:lpstr>SET2-BSC1</vt:lpstr>
      <vt:lpstr>SET3-OL21LJBB</vt:lpstr>
      <vt:lpstr>SET4-OL21CUFix</vt:lpstr>
      <vt:lpstr>SET6-OL24</vt:lpstr>
      <vt:lpstr>Final-Results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Galindo</dc:creator>
  <cp:lastModifiedBy>Bergonzo, Christina Dr. (Fed)</cp:lastModifiedBy>
  <dcterms:created xsi:type="dcterms:W3CDTF">2015-06-05T18:17:20Z</dcterms:created>
  <dcterms:modified xsi:type="dcterms:W3CDTF">2026-10-26T14:06:08Z</dcterms:modified>
</cp:coreProperties>
</file>